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1.Significant_SNPs" sheetId="1" state="visible" r:id="rId3"/>
    <sheet name="ST2_Functional_Categories_Of_Th" sheetId="2" state="visible" r:id="rId4"/>
    <sheet name="Sheet4" sheetId="3" state="visible" r:id="rId5"/>
  </sheets>
  <definedNames>
    <definedName function="false" hidden="true" localSheetId="0" name="_xlnm._FilterDatabase" vbProcedure="false">'ST1.Significant_SNPs'!$A$1:$S$31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<sst xmlns="http://schemas.openxmlformats.org/spreadsheetml/2006/main" count="446" uniqueCount="184">
  <si>
    <t xml:space="preserve">SNP</t>
  </si>
  <si>
    <t xml:space="preserve">GSCORE</t>
  </si>
  <si>
    <t xml:space="preserve">TRAIT</t>
  </si>
  <si>
    <t xml:space="preserve">LGSCORE</t>
  </si>
  <si>
    <t xml:space="preserve">TOOL</t>
  </si>
  <si>
    <t xml:space="preserve">MODEL</t>
  </si>
  <si>
    <t xml:space="preserve">GC</t>
  </si>
  <si>
    <t xml:space="preserve">CHR</t>
  </si>
  <si>
    <t xml:space="preserve">POS</t>
  </si>
  <si>
    <t xml:space="preserve">P</t>
  </si>
  <si>
    <t xml:space="preserve">SCORE</t>
  </si>
  <si>
    <t xml:space="preserve">THRESHOLD</t>
  </si>
  <si>
    <t xml:space="preserve">SIGNIFICANCE.x</t>
  </si>
  <si>
    <t xml:space="preserve">ScoresRepl</t>
  </si>
  <si>
    <t xml:space="preserve">ScoreGC</t>
  </si>
  <si>
    <t xml:space="preserve">SEQID</t>
  </si>
  <si>
    <t xml:space="preserve">GOTERMS</t>
  </si>
  <si>
    <t xml:space="preserve">SOURCEANNOT</t>
  </si>
  <si>
    <t xml:space="preserve">ANNOT</t>
  </si>
  <si>
    <t xml:space="preserve">References</t>
  </si>
  <si>
    <t xml:space="preserve">c2_14623</t>
  </si>
  <si>
    <t xml:space="preserve">SCTuberflesh.H</t>
  </si>
  <si>
    <t xml:space="preserve">GWASpoly</t>
  </si>
  <si>
    <t xml:space="preserve">additive</t>
  </si>
  <si>
    <t xml:space="preserve">TRUE</t>
  </si>
  <si>
    <t xml:space="preserve">Soltu.DM.01G028040</t>
  </si>
  <si>
    <t xml:space="preserve">"GO:0019354 GO:0008168 GO:0055114"</t>
  </si>
  <si>
    <t xml:space="preserve">CDD</t>
  </si>
  <si>
    <t xml:space="preserve">Uroporphyrin-III C-methyltransferase</t>
  </si>
  <si>
    <t xml:space="preserve">(Pandey et al., 2022)</t>
  </si>
  <si>
    <t xml:space="preserve">c1_4666</t>
  </si>
  <si>
    <t xml:space="preserve">Soltu.DM.01G036130</t>
  </si>
  <si>
    <t xml:space="preserve">GO:0005515</t>
  </si>
  <si>
    <t xml:space="preserve">Pfam</t>
  </si>
  <si>
    <t xml:space="preserve">"WD domain G-beta repeat"</t>
  </si>
  <si>
    <t xml:space="preserve">(Liu et al., 2020)(Sajeevan et al., 2023)</t>
  </si>
  <si>
    <t xml:space="preserve">c1_730</t>
  </si>
  <si>
    <t xml:space="preserve">Soltu.DM.01G039330</t>
  </si>
  <si>
    <t xml:space="preserve">xyloglucan endotransglucosylase /hydrolase</t>
  </si>
  <si>
    <t xml:space="preserve">(Parra-Galindo et al., 2019)</t>
  </si>
  <si>
    <t xml:space="preserve">c2_2551</t>
  </si>
  <si>
    <t xml:space="preserve">Soltu.DM.01G039490</t>
  </si>
  <si>
    <t xml:space="preserve">NA</t>
  </si>
  <si>
    <t xml:space="preserve">Gene3D</t>
  </si>
  <si>
    <t xml:space="preserve">Mss4/translationally controlled tumour-associated TCTP</t>
  </si>
  <si>
    <t xml:space="preserve">(Sharma et al., 2024)</t>
  </si>
  <si>
    <t xml:space="preserve">c1_11495</t>
  </si>
  <si>
    <t xml:space="preserve">PCFlower.H</t>
  </si>
  <si>
    <t xml:space="preserve">Soltu.DM.02G009890</t>
  </si>
  <si>
    <t xml:space="preserve">GO:0003676</t>
  </si>
  <si>
    <t xml:space="preserve">"RNA recognition motif. (a.k.a. RRM RBD or RNP domain)"</t>
  </si>
  <si>
    <t xml:space="preserve">(Sharma et al., 2024)(Berdugo-Cely et al.,2017)</t>
  </si>
  <si>
    <t xml:space="preserve">PCFlower.L</t>
  </si>
  <si>
    <t xml:space="preserve">c1_11544</t>
  </si>
  <si>
    <t xml:space="preserve">Soltu.DM.02G011880</t>
  </si>
  <si>
    <t xml:space="preserve">ProSitePatterns</t>
  </si>
  <si>
    <t xml:space="preserve">Zinc finger C2H2 type domain signature.</t>
  </si>
  <si>
    <t xml:space="preserve">c2_27439</t>
  </si>
  <si>
    <t xml:space="preserve">StemC.H</t>
  </si>
  <si>
    <t xml:space="preserve">GAPIT</t>
  </si>
  <si>
    <t xml:space="preserve">Soltu.DM.02G019820</t>
  </si>
  <si>
    <t xml:space="preserve">"GO:0004857 GO:0042545 GO:0030599"</t>
  </si>
  <si>
    <t xml:space="preserve">Invertase/pectin methylesterase inhibitor domain superfamily</t>
  </si>
  <si>
    <t xml:space="preserve">(close to GST) (Riveros-Loaiza et al.,  2022)</t>
  </si>
  <si>
    <t xml:space="preserve">c1_8113</t>
  </si>
  <si>
    <t xml:space="preserve">Soltu.DM.02G024500</t>
  </si>
  <si>
    <t xml:space="preserve">FG-GAP repeat-containing protein</t>
  </si>
  <si>
    <t xml:space="preserve">(close to F3H)(Riveros-Loaiza et al.,  2022) </t>
  </si>
  <si>
    <t xml:space="preserve">c1_7964</t>
  </si>
  <si>
    <t xml:space="preserve">Soltu.DM.02G024900</t>
  </si>
  <si>
    <t xml:space="preserve">GO:0003824</t>
  </si>
  <si>
    <t xml:space="preserve">NAD dependent epimerase/dehydratase family</t>
  </si>
  <si>
    <t xml:space="preserve">(DFR) (Riveros-Loaiza et al.,  2022)</t>
  </si>
  <si>
    <t xml:space="preserve">c1_11459</t>
  </si>
  <si>
    <t xml:space="preserve">StemC.C</t>
  </si>
  <si>
    <t xml:space="preserve">Soltu.DM.02G033700</t>
  </si>
  <si>
    <t xml:space="preserve">PRINTS</t>
  </si>
  <si>
    <t xml:space="preserve">Glucose/ribitol dehydrogenase family signature</t>
  </si>
  <si>
    <t xml:space="preserve">(Sharma et al., 2024)(Berdugo-Cely et al., 2023) (Berdugo-Cely et al., 2017)</t>
  </si>
  <si>
    <t xml:space="preserve">c2_29450</t>
  </si>
  <si>
    <t xml:space="preserve">Soltu.DM.03G004830</t>
  </si>
  <si>
    <t xml:space="preserve">Chlorophyll A-B binding protein</t>
  </si>
  <si>
    <t xml:space="preserve">c1_8194</t>
  </si>
  <si>
    <t xml:space="preserve">Soltu.DM.03G030880</t>
  </si>
  <si>
    <t xml:space="preserve">"GO:0003924 GO:0006614 GO:0005525 GO:0048500 GO:0008312"</t>
  </si>
  <si>
    <t xml:space="preserve">"Signal recognition particle SRP54 helical bundle"</t>
  </si>
  <si>
    <t xml:space="preserve">c2_21934</t>
  </si>
  <si>
    <t xml:space="preserve">SCSprout.C</t>
  </si>
  <si>
    <t xml:space="preserve">Soltu.DM.04G005270</t>
  </si>
  <si>
    <t xml:space="preserve">OCRE domain</t>
  </si>
  <si>
    <t xml:space="preserve">(close to MYB)(Sharma et al., 2024)(Riveros-Loaiza et al., 2022)</t>
  </si>
  <si>
    <t xml:space="preserve">SCSprout.L</t>
  </si>
  <si>
    <t xml:space="preserve">c2_36859</t>
  </si>
  <si>
    <t xml:space="preserve">Soltu.DM.07G003030</t>
  </si>
  <si>
    <t xml:space="preserve">SUPERFAMILY</t>
  </si>
  <si>
    <t xml:space="preserve">Armadillo-type fold</t>
  </si>
  <si>
    <t xml:space="preserve">c2_36872</t>
  </si>
  <si>
    <t xml:space="preserve">Soltu.DM.07G003060</t>
  </si>
  <si>
    <t xml:space="preserve">"GO:0016020 GO:0055085 GO:0006821 GO:0005247"</t>
  </si>
  <si>
    <t xml:space="preserve">"Chloride channel voltage gated"</t>
  </si>
  <si>
    <t xml:space="preserve">c2_32702</t>
  </si>
  <si>
    <t xml:space="preserve">Soltu.DM.08G001440</t>
  </si>
  <si>
    <t xml:space="preserve">“multidrug resistance-associated protein”</t>
  </si>
  <si>
    <t xml:space="preserve">c2_51974</t>
  </si>
  <si>
    <t xml:space="preserve">Soltu.DM.08G001790</t>
  </si>
  <si>
    <t xml:space="preserve">"GO:0030170 GO:0016831 GO:0003824 GO:0019752"</t>
  </si>
  <si>
    <t xml:space="preserve">Pyridoxal phosphate-dependent transferase domain 1</t>
  </si>
  <si>
    <t xml:space="preserve">c1_11907</t>
  </si>
  <si>
    <t xml:space="preserve">Soltu.DM.09G022590</t>
  </si>
  <si>
    <t xml:space="preserve">"GO:0005524 GO:0006468 GO:0004672"</t>
  </si>
  <si>
    <t xml:space="preserve">"Serine-threonine/tyrosine-protein kinase catalytic domain"</t>
  </si>
  <si>
    <t xml:space="preserve">c1_11237</t>
  </si>
  <si>
    <t xml:space="preserve">PCSprout.L</t>
  </si>
  <si>
    <t xml:space="preserve">Soltu.DM.11G011980</t>
  </si>
  <si>
    <t xml:space="preserve">"GO:0016616 GO:0055114 GO:0051287"</t>
  </si>
  <si>
    <t xml:space="preserve">"D-isomer specific 2-hydroxyacid dehydrogenase NAD-binding domain"</t>
  </si>
  <si>
    <t xml:space="preserve">c1_5936</t>
  </si>
  <si>
    <t xml:space="preserve">Soltu.DM.11G015780</t>
  </si>
  <si>
    <t xml:space="preserve">"GO:0050661 GO:0004072 GO:0008652 GO:0055114 GO:0006520 GO:0016491"</t>
  </si>
  <si>
    <t xml:space="preserve">"Bifunctional aspartokinase/homoserine dehydrogenase N-terminal catalytic domain"</t>
  </si>
  <si>
    <t xml:space="preserve">c1_5940</t>
  </si>
  <si>
    <t xml:space="preserve">PCSprout.C</t>
  </si>
  <si>
    <t xml:space="preserve">Soltu.DM.11G015820</t>
  </si>
  <si>
    <t xml:space="preserve">Leucine-rich repeat domain superfamily</t>
  </si>
  <si>
    <t xml:space="preserve">Pathway</t>
  </si>
  <si>
    <t xml:space="preserve">PCFlower.C</t>
  </si>
  <si>
    <t xml:space="preserve">Total</t>
  </si>
  <si>
    <t xml:space="preserve">Percentage</t>
  </si>
  <si>
    <t xml:space="preserve">Genetic information processing</t>
  </si>
  <si>
    <t xml:space="preserve">Biosynthesis of other secondary metabolites</t>
  </si>
  <si>
    <t xml:space="preserve">metabolism</t>
  </si>
  <si>
    <t xml:space="preserve">Amino acid metabolism</t>
  </si>
  <si>
    <t xml:space="preserve">Protein families: metabolism</t>
  </si>
  <si>
    <t xml:space="preserve">Metabolism of cofactors and vitamins</t>
  </si>
  <si>
    <t xml:space="preserve">Energy metabolism</t>
  </si>
  <si>
    <t xml:space="preserve">Lipid metabolism</t>
  </si>
  <si>
    <t xml:space="preserve">Carbohydrate metabolism</t>
  </si>
  <si>
    <t xml:space="preserve">Potato Color-Associated Genes — Genomic Coordinates (DM v6.1)</t>
  </si>
  <si>
    <t xml:space="preserve">Gene Name / Function</t>
  </si>
  <si>
    <t xml:space="preserve">Gene ID (v6.1)</t>
  </si>
  <si>
    <t xml:space="preserve">Chr</t>
  </si>
  <si>
    <t xml:space="preserve">Start (bp)</t>
  </si>
  <si>
    <t xml:space="preserve">End (bp)</t>
  </si>
  <si>
    <t xml:space="preserve">Reference / Source</t>
  </si>
  <si>
    <t xml:space="preserve">Dihydroflavonol reductase </t>
  </si>
  <si>
    <t xml:space="preserve">To be extracted</t>
  </si>
  <si>
    <t xml:space="preserve">…</t>
  </si>
  <si>
    <t xml:space="preserve">Causal at R locus, red/purple anthocyanin PMC</t>
  </si>
  <si>
    <t xml:space="preserve">Flavonoid 3’,5’-hydroxylase (blue anthocyanins)</t>
  </si>
  <si>
    <t xml:space="preserve">Soltu.DM.11G020990</t>
  </si>
  <si>
    <r>
      <rPr>
        <sz val="10"/>
        <rFont val="Arial"/>
        <family val="2"/>
        <charset val="1"/>
      </rPr>
      <t xml:space="preserve">Causal at P locus, blue pigmentation </t>
    </r>
    <r>
      <rPr>
        <sz val="10"/>
        <color rgb="FF0000FF"/>
        <rFont val="Arial"/>
        <family val="2"/>
        <charset val="1"/>
      </rPr>
      <t xml:space="preserve">ResearchGatePMC</t>
    </r>
  </si>
  <si>
    <t xml:space="preserve">Chalcone synthase</t>
  </si>
  <si>
    <t xml:space="preserve">Soltu.DM.05G023610</t>
  </si>
  <si>
    <t xml:space="preserve">Early flavonoid pathway PMC</t>
  </si>
  <si>
    <t xml:space="preserve">Chalcone synthase (alternative copy)</t>
  </si>
  <si>
    <t xml:space="preserve">Soltu.DM.09G028560</t>
  </si>
  <si>
    <t xml:space="preserve">— PMC</t>
  </si>
  <si>
    <t xml:space="preserve">Chalcone isomerase</t>
  </si>
  <si>
    <t xml:space="preserve">Soltu.DM.05G001950</t>
  </si>
  <si>
    <t xml:space="preserve">Chalcone isomerase (duplicate)</t>
  </si>
  <si>
    <t xml:space="preserve">Soltu.DM.05G022280</t>
  </si>
  <si>
    <t xml:space="preserve">Flavanone-3-hydroxylase (F3H)</t>
  </si>
  <si>
    <t xml:space="preserve">Soltu.DM.02G023850</t>
  </si>
  <si>
    <t xml:space="preserve">Early anthocyanin pathway PMC</t>
  </si>
  <si>
    <t xml:space="preserve">Anthocyanidin synthase (ANS)</t>
  </si>
  <si>
    <t xml:space="preserve">Soltu.DM.08G026700</t>
  </si>
  <si>
    <t xml:space="preserve">Late anthocyanin enzyme PMC</t>
  </si>
  <si>
    <t xml:space="preserve">Anthocyanin O-methyltransferase (AOMT)</t>
  </si>
  <si>
    <t xml:space="preserve">Soltu.DM.09G025040</t>
  </si>
  <si>
    <t xml:space="preserve">Color modification PMC</t>
  </si>
  <si>
    <t xml:space="preserve">UDP-glycosyltransferase (UGT)</t>
  </si>
  <si>
    <t xml:space="preserve">Soltu.DM.09G017160</t>
  </si>
  <si>
    <t xml:space="preserve">Anthocyanin decoration PMC</t>
  </si>
  <si>
    <t xml:space="preserve">Soltu.DM.12G002520</t>
  </si>
  <si>
    <t xml:space="preserve">Soltu.DM.02G026690</t>
  </si>
  <si>
    <t xml:space="preserve">Glutathione S-transferase (GST)</t>
  </si>
  <si>
    <t xml:space="preserve">Soltu.DM.02G020850</t>
  </si>
  <si>
    <t xml:space="preserve">Transport to vacuole PMC</t>
  </si>
  <si>
    <t xml:space="preserve">MATE transporter (DTX)</t>
  </si>
  <si>
    <t xml:space="preserve">Soltu.DM.03G018250</t>
  </si>
  <si>
    <t xml:space="preserve">Vacuolar anthocyanin transport PMC</t>
  </si>
  <si>
    <t xml:space="preserve">Vacuolar protein PEP3</t>
  </si>
  <si>
    <t xml:space="preserve">Soltu.DM.06G005370</t>
  </si>
  <si>
    <t xml:space="preserve">Anthocyanin QTL region PMC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</si>
</sst>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0.00%"/>
    <numFmt numFmtId="168" formatCode="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D7"/>
        <bgColor rgb="FFEEEEEE"/>
      </patternFill>
    </fill>
    <fill>
      <patternFill patternType="solid">
        <fgColor rgb="FFDDE8CB"/>
        <bgColor rgb="FFDDDDDD"/>
      </patternFill>
    </fill>
    <fill>
      <patternFill patternType="solid">
        <fgColor rgb="FFDEE6EF"/>
        <bgColor rgb="FFDDDDDD"/>
      </patternFill>
    </fill>
    <fill>
      <patternFill patternType="solid">
        <fgColor rgb="FFDDDDDD"/>
        <bgColor rgb="FFDEE6EF"/>
      </patternFill>
    </fill>
    <fill>
      <patternFill patternType="solid">
        <fgColor rgb="FFEEEEEE"/>
        <bgColor rgb="FFDEE6EF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FF4000"/>
      </patternFill>
    </fill>
    <fill>
      <patternFill patternType="solid">
        <fgColor rgb="FFFF4000"/>
        <bgColor rgb="FFFF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FFD7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pmc.ncbi.nlm.nih.gov/articles/PMC9498938/?utm_source=chatgpt.com" TargetMode="External"/><Relationship Id="rId2" Type="http://schemas.openxmlformats.org/officeDocument/2006/relationships/hyperlink" Target="https://pmc.ncbi.nlm.nih.gov/articles/PMC9498938/?utm_source=chatgpt.com" TargetMode="External"/><Relationship Id="rId3" Type="http://schemas.openxmlformats.org/officeDocument/2006/relationships/hyperlink" Target="https://pmc.ncbi.nlm.nih.gov/articles/PMC9498938/?utm_source=chatgpt.com" TargetMode="External"/><Relationship Id="rId4" Type="http://schemas.openxmlformats.org/officeDocument/2006/relationships/hyperlink" Target="https://pmc.ncbi.nlm.nih.gov/articles/PMC9498938/?utm_source=chatgpt.com" TargetMode="External"/><Relationship Id="rId5" Type="http://schemas.openxmlformats.org/officeDocument/2006/relationships/hyperlink" Target="https://pmc.ncbi.nlm.nih.gov/articles/PMC9498938/?utm_source=chatgpt.com" TargetMode="External"/><Relationship Id="rId6" Type="http://schemas.openxmlformats.org/officeDocument/2006/relationships/hyperlink" Target="https://pmc.ncbi.nlm.nih.gov/articles/PMC9498938/?utm_source=chatgpt.com" TargetMode="External"/><Relationship Id="rId7" Type="http://schemas.openxmlformats.org/officeDocument/2006/relationships/hyperlink" Target="https://pmc.ncbi.nlm.nih.gov/articles/PMC9498938/?utm_source=chatgpt.com" TargetMode="External"/><Relationship Id="rId8" Type="http://schemas.openxmlformats.org/officeDocument/2006/relationships/hyperlink" Target="https://pmc.ncbi.nlm.nih.gov/articles/PMC9498938/?utm_source=chatgpt.com" TargetMode="External"/><Relationship Id="rId9" Type="http://schemas.openxmlformats.org/officeDocument/2006/relationships/hyperlink" Target="https://pmc.ncbi.nlm.nih.gov/articles/PMC9498938/?utm_source=chatgpt.com" TargetMode="External"/><Relationship Id="rId10" Type="http://schemas.openxmlformats.org/officeDocument/2006/relationships/hyperlink" Target="https://pmc.ncbi.nlm.nih.gov/articles/PMC9498938/?utm_source=chatgpt.com" TargetMode="External"/><Relationship Id="rId11" Type="http://schemas.openxmlformats.org/officeDocument/2006/relationships/hyperlink" Target="https://pmc.ncbi.nlm.nih.gov/articles/PMC9498938/?utm_source=chatgpt.com" TargetMode="External"/><Relationship Id="rId12" Type="http://schemas.openxmlformats.org/officeDocument/2006/relationships/hyperlink" Target="https://pmc.ncbi.nlm.nih.gov/articles/PMC9498938/?utm_source=chatgpt.com" TargetMode="External"/><Relationship Id="rId13" Type="http://schemas.openxmlformats.org/officeDocument/2006/relationships/hyperlink" Target="https://pmc.ncbi.nlm.nih.gov/articles/PMC9498938/?utm_source=chatgpt.com" TargetMode="External"/><Relationship Id="rId14" Type="http://schemas.openxmlformats.org/officeDocument/2006/relationships/hyperlink" Target="https://pmc.ncbi.nlm.nih.gov/articles/PMC9498938/?utm_source=chatgp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T21" activeCellId="0" sqref="T2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4.42"/>
    <col collapsed="false" customWidth="true" hidden="false" outlineLevel="0" max="9" min="9" style="1" width="13.03"/>
    <col collapsed="false" customWidth="false" hidden="true" outlineLevel="0" max="15" min="10" style="0" width="11.53"/>
    <col collapsed="false" customWidth="true" hidden="true" outlineLevel="0" max="16" min="16" style="1" width="45.78"/>
    <col collapsed="false" customWidth="false" hidden="true" outlineLevel="0" max="18" min="17" style="0" width="11.53"/>
    <col collapsed="false" customWidth="true" hidden="true" outlineLevel="0" max="19" min="19" style="1" width="69.69"/>
    <col collapsed="false" customWidth="true" hidden="false" outlineLevel="0" max="20" min="20" style="1" width="62.93"/>
  </cols>
  <sheetData>
    <row r="1" s="1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</row>
    <row r="2" customFormat="false" ht="12.8" hidden="false" customHeight="false" outlineLevel="0" collapsed="false">
      <c r="A2" s="2" t="s">
        <v>20</v>
      </c>
      <c r="B2" s="2" t="n">
        <v>0.601</v>
      </c>
      <c r="C2" s="2" t="s">
        <v>21</v>
      </c>
      <c r="D2" s="2" t="n">
        <v>0.605</v>
      </c>
      <c r="E2" s="2" t="s">
        <v>22</v>
      </c>
      <c r="F2" s="2" t="s">
        <v>23</v>
      </c>
      <c r="G2" s="2" t="n">
        <v>1.517</v>
      </c>
      <c r="H2" s="2" t="n">
        <v>1</v>
      </c>
      <c r="I2" s="3" t="n">
        <v>67822946</v>
      </c>
      <c r="J2" s="2" t="n">
        <v>1.07151930523761E-006</v>
      </c>
      <c r="K2" s="2" t="n">
        <v>5.97</v>
      </c>
      <c r="L2" s="2" t="n">
        <v>4.86</v>
      </c>
      <c r="M2" s="4" t="s">
        <v>24</v>
      </c>
      <c r="N2" s="2" t="n">
        <v>51</v>
      </c>
      <c r="O2" s="2" t="n">
        <v>0.483</v>
      </c>
      <c r="P2" s="2" t="s">
        <v>25</v>
      </c>
      <c r="Q2" s="2" t="s">
        <v>26</v>
      </c>
      <c r="R2" s="2" t="s">
        <v>27</v>
      </c>
      <c r="S2" s="2" t="s">
        <v>28</v>
      </c>
      <c r="T2" s="1" t="s">
        <v>29</v>
      </c>
    </row>
    <row r="3" customFormat="false" ht="12.8" hidden="false" customHeight="false" outlineLevel="0" collapsed="false">
      <c r="A3" s="2" t="s">
        <v>30</v>
      </c>
      <c r="B3" s="2" t="n">
        <v>0.601</v>
      </c>
      <c r="C3" s="2" t="s">
        <v>21</v>
      </c>
      <c r="D3" s="2" t="n">
        <v>0.605</v>
      </c>
      <c r="E3" s="2" t="s">
        <v>22</v>
      </c>
      <c r="F3" s="2" t="s">
        <v>23</v>
      </c>
      <c r="G3" s="2" t="n">
        <v>1.517</v>
      </c>
      <c r="H3" s="2" t="n">
        <v>1</v>
      </c>
      <c r="I3" s="5" t="n">
        <v>75668861</v>
      </c>
      <c r="J3" s="2" t="n">
        <v>1.54881661891248E-007</v>
      </c>
      <c r="K3" s="2" t="n">
        <v>6.81</v>
      </c>
      <c r="L3" s="2" t="n">
        <v>4.86</v>
      </c>
      <c r="M3" s="4" t="s">
        <v>24</v>
      </c>
      <c r="N3" s="2" t="n">
        <v>51</v>
      </c>
      <c r="O3" s="2" t="n">
        <v>0.483</v>
      </c>
      <c r="P3" s="2" t="s">
        <v>31</v>
      </c>
      <c r="Q3" s="2" t="s">
        <v>32</v>
      </c>
      <c r="R3" s="2" t="s">
        <v>33</v>
      </c>
      <c r="S3" s="2" t="s">
        <v>34</v>
      </c>
      <c r="T3" s="6" t="s">
        <v>35</v>
      </c>
    </row>
    <row r="4" customFormat="false" ht="12.8" hidden="false" customHeight="false" outlineLevel="0" collapsed="false">
      <c r="A4" s="2" t="s">
        <v>36</v>
      </c>
      <c r="B4" s="2" t="n">
        <v>0.601</v>
      </c>
      <c r="C4" s="2" t="s">
        <v>21</v>
      </c>
      <c r="D4" s="2" t="n">
        <v>0.605</v>
      </c>
      <c r="E4" s="2" t="s">
        <v>22</v>
      </c>
      <c r="F4" s="2" t="s">
        <v>23</v>
      </c>
      <c r="G4" s="2" t="n">
        <v>1.517</v>
      </c>
      <c r="H4" s="2" t="n">
        <v>1</v>
      </c>
      <c r="I4" s="3" t="n">
        <v>78044268</v>
      </c>
      <c r="J4" s="2" t="n">
        <v>9.1201083935591E-007</v>
      </c>
      <c r="K4" s="2" t="n">
        <v>6.04</v>
      </c>
      <c r="L4" s="2" t="n">
        <v>4.86</v>
      </c>
      <c r="M4" s="4" t="s">
        <v>24</v>
      </c>
      <c r="N4" s="2" t="n">
        <v>51</v>
      </c>
      <c r="O4" s="2" t="n">
        <v>0.483</v>
      </c>
      <c r="P4" s="2" t="s">
        <v>37</v>
      </c>
      <c r="Q4" s="2"/>
      <c r="R4" s="2"/>
      <c r="S4" s="2" t="s">
        <v>38</v>
      </c>
      <c r="T4" s="1" t="s">
        <v>39</v>
      </c>
    </row>
    <row r="5" customFormat="false" ht="12.8" hidden="false" customHeight="false" outlineLevel="0" collapsed="false">
      <c r="A5" s="2" t="s">
        <v>40</v>
      </c>
      <c r="B5" s="2" t="n">
        <v>0.601</v>
      </c>
      <c r="C5" s="2" t="s">
        <v>21</v>
      </c>
      <c r="D5" s="2" t="n">
        <v>0.605</v>
      </c>
      <c r="E5" s="2" t="s">
        <v>22</v>
      </c>
      <c r="F5" s="2" t="s">
        <v>23</v>
      </c>
      <c r="G5" s="2" t="n">
        <v>1.517</v>
      </c>
      <c r="H5" s="2" t="n">
        <v>1</v>
      </c>
      <c r="I5" s="3" t="n">
        <v>78177940</v>
      </c>
      <c r="J5" s="2" t="n">
        <v>9.1201083935591E-007</v>
      </c>
      <c r="K5" s="2" t="n">
        <v>6.04</v>
      </c>
      <c r="L5" s="2" t="n">
        <v>4.86</v>
      </c>
      <c r="M5" s="4" t="s">
        <v>24</v>
      </c>
      <c r="N5" s="2" t="n">
        <v>51</v>
      </c>
      <c r="O5" s="2" t="n">
        <v>0.483</v>
      </c>
      <c r="P5" s="2" t="s">
        <v>41</v>
      </c>
      <c r="Q5" s="2" t="s">
        <v>42</v>
      </c>
      <c r="R5" s="2" t="s">
        <v>43</v>
      </c>
      <c r="S5" s="2" t="s">
        <v>44</v>
      </c>
      <c r="T5" s="1" t="s">
        <v>45</v>
      </c>
    </row>
    <row r="6" customFormat="false" ht="12.8" hidden="false" customHeight="false" outlineLevel="0" collapsed="false">
      <c r="A6" s="2" t="s">
        <v>46</v>
      </c>
      <c r="B6" s="2" t="n">
        <v>0.688</v>
      </c>
      <c r="C6" s="2" t="s">
        <v>47</v>
      </c>
      <c r="D6" s="2" t="n">
        <v>0.692</v>
      </c>
      <c r="E6" s="2" t="s">
        <v>22</v>
      </c>
      <c r="F6" s="2" t="s">
        <v>23</v>
      </c>
      <c r="G6" s="2" t="n">
        <v>1.393</v>
      </c>
      <c r="H6" s="7" t="n">
        <v>2</v>
      </c>
      <c r="I6" s="3" t="n">
        <v>24792151</v>
      </c>
      <c r="J6" s="2" t="n">
        <v>4.16869383470335E-006</v>
      </c>
      <c r="K6" s="2" t="n">
        <v>5.38</v>
      </c>
      <c r="L6" s="2" t="n">
        <v>4.9</v>
      </c>
      <c r="M6" s="4" t="s">
        <v>24</v>
      </c>
      <c r="N6" s="2" t="n">
        <v>51</v>
      </c>
      <c r="O6" s="2" t="n">
        <v>0.607</v>
      </c>
      <c r="P6" s="2" t="s">
        <v>48</v>
      </c>
      <c r="Q6" s="2" t="s">
        <v>49</v>
      </c>
      <c r="R6" s="2" t="s">
        <v>33</v>
      </c>
      <c r="S6" s="2" t="s">
        <v>50</v>
      </c>
      <c r="T6" s="1" t="s">
        <v>51</v>
      </c>
    </row>
    <row r="7" customFormat="false" ht="12.8" hidden="false" customHeight="false" outlineLevel="0" collapsed="false">
      <c r="A7" s="2" t="s">
        <v>46</v>
      </c>
      <c r="B7" s="2" t="n">
        <v>0.825</v>
      </c>
      <c r="C7" s="2" t="s">
        <v>52</v>
      </c>
      <c r="D7" s="2" t="n">
        <v>0.829</v>
      </c>
      <c r="E7" s="2" t="s">
        <v>22</v>
      </c>
      <c r="F7" s="2" t="s">
        <v>23</v>
      </c>
      <c r="G7" s="2" t="n">
        <v>1.197</v>
      </c>
      <c r="H7" s="7" t="n">
        <v>2</v>
      </c>
      <c r="I7" s="3" t="n">
        <v>24792151</v>
      </c>
      <c r="J7" s="2" t="n">
        <v>7.41310241300918E-006</v>
      </c>
      <c r="K7" s="2" t="n">
        <v>5.13</v>
      </c>
      <c r="L7" s="2" t="n">
        <v>4.9</v>
      </c>
      <c r="M7" s="4" t="s">
        <v>24</v>
      </c>
      <c r="N7" s="2" t="n">
        <v>51</v>
      </c>
      <c r="O7" s="2" t="n">
        <v>0.803</v>
      </c>
      <c r="P7" s="2" t="s">
        <v>48</v>
      </c>
      <c r="Q7" s="2" t="s">
        <v>49</v>
      </c>
      <c r="R7" s="2" t="s">
        <v>33</v>
      </c>
      <c r="S7" s="2" t="s">
        <v>50</v>
      </c>
      <c r="T7" s="1" t="s">
        <v>51</v>
      </c>
    </row>
    <row r="8" customFormat="false" ht="12.8" hidden="false" customHeight="false" outlineLevel="0" collapsed="false">
      <c r="A8" s="2" t="s">
        <v>53</v>
      </c>
      <c r="B8" s="2" t="n">
        <v>0.601</v>
      </c>
      <c r="C8" s="2" t="s">
        <v>21</v>
      </c>
      <c r="D8" s="2" t="n">
        <v>0.605</v>
      </c>
      <c r="E8" s="2" t="s">
        <v>22</v>
      </c>
      <c r="F8" s="2" t="s">
        <v>23</v>
      </c>
      <c r="G8" s="2" t="n">
        <v>1.517</v>
      </c>
      <c r="H8" s="7" t="n">
        <v>2</v>
      </c>
      <c r="I8" s="8" t="n">
        <v>26621058</v>
      </c>
      <c r="J8" s="2" t="n">
        <v>7.41310241300918E-007</v>
      </c>
      <c r="K8" s="2" t="n">
        <v>6.13</v>
      </c>
      <c r="L8" s="2" t="n">
        <v>4.86</v>
      </c>
      <c r="M8" s="4" t="s">
        <v>24</v>
      </c>
      <c r="N8" s="2" t="n">
        <v>51</v>
      </c>
      <c r="O8" s="2" t="n">
        <v>0.483</v>
      </c>
      <c r="P8" s="2" t="s">
        <v>54</v>
      </c>
      <c r="Q8" s="2" t="s">
        <v>42</v>
      </c>
      <c r="R8" s="2" t="s">
        <v>55</v>
      </c>
      <c r="S8" s="2" t="s">
        <v>56</v>
      </c>
    </row>
    <row r="9" customFormat="false" ht="12.8" hidden="false" customHeight="false" outlineLevel="0" collapsed="false">
      <c r="A9" s="2" t="s">
        <v>57</v>
      </c>
      <c r="B9" s="2" t="n">
        <v>0.859</v>
      </c>
      <c r="C9" s="2" t="s">
        <v>58</v>
      </c>
      <c r="D9" s="2" t="n">
        <v>0.862</v>
      </c>
      <c r="E9" s="2" t="s">
        <v>59</v>
      </c>
      <c r="F9" s="2" t="s">
        <v>23</v>
      </c>
      <c r="G9" s="2" t="n">
        <v>0.851</v>
      </c>
      <c r="H9" s="7" t="n">
        <v>2</v>
      </c>
      <c r="I9" s="3" t="n">
        <v>34015955</v>
      </c>
      <c r="J9" s="2" t="n">
        <v>1.22782947713179E-005</v>
      </c>
      <c r="K9" s="2" t="n">
        <v>4.910862</v>
      </c>
      <c r="L9" s="2" t="n">
        <v>4.896857</v>
      </c>
      <c r="M9" s="4" t="s">
        <v>24</v>
      </c>
      <c r="N9" s="2" t="n">
        <v>51</v>
      </c>
      <c r="O9" s="2" t="n">
        <v>0.851</v>
      </c>
      <c r="P9" s="2" t="s">
        <v>60</v>
      </c>
      <c r="Q9" s="2" t="s">
        <v>61</v>
      </c>
      <c r="R9" s="2" t="s">
        <v>43</v>
      </c>
      <c r="S9" s="2" t="s">
        <v>62</v>
      </c>
      <c r="T9" s="1" t="s">
        <v>63</v>
      </c>
    </row>
    <row r="10" customFormat="false" ht="12.8" hidden="false" customHeight="false" outlineLevel="0" collapsed="false">
      <c r="A10" s="2" t="s">
        <v>64</v>
      </c>
      <c r="B10" s="2" t="n">
        <v>0.601</v>
      </c>
      <c r="C10" s="2" t="s">
        <v>21</v>
      </c>
      <c r="D10" s="2" t="n">
        <v>0.605</v>
      </c>
      <c r="E10" s="2" t="s">
        <v>22</v>
      </c>
      <c r="F10" s="2" t="s">
        <v>23</v>
      </c>
      <c r="G10" s="2" t="n">
        <v>1.517</v>
      </c>
      <c r="H10" s="7" t="n">
        <v>2</v>
      </c>
      <c r="I10" s="3" t="n">
        <v>37793674</v>
      </c>
      <c r="J10" s="2" t="n">
        <v>2.39883291901949E-007</v>
      </c>
      <c r="K10" s="2" t="n">
        <v>6.62</v>
      </c>
      <c r="L10" s="2" t="n">
        <v>4.86</v>
      </c>
      <c r="M10" s="4" t="s">
        <v>24</v>
      </c>
      <c r="N10" s="2" t="n">
        <v>51</v>
      </c>
      <c r="O10" s="2" t="n">
        <v>0.483</v>
      </c>
      <c r="P10" s="2" t="s">
        <v>65</v>
      </c>
      <c r="Q10" s="2"/>
      <c r="R10" s="2"/>
      <c r="S10" s="2" t="s">
        <v>66</v>
      </c>
      <c r="T10" s="1" t="s">
        <v>67</v>
      </c>
    </row>
    <row r="11" customFormat="false" ht="12.8" hidden="false" customHeight="false" outlineLevel="0" collapsed="false">
      <c r="A11" s="2" t="s">
        <v>68</v>
      </c>
      <c r="B11" s="2" t="n">
        <v>0.857</v>
      </c>
      <c r="C11" s="2" t="s">
        <v>52</v>
      </c>
      <c r="D11" s="2" t="n">
        <v>0.862</v>
      </c>
      <c r="E11" s="2" t="s">
        <v>22</v>
      </c>
      <c r="F11" s="2" t="s">
        <v>23</v>
      </c>
      <c r="G11" s="2" t="n">
        <v>1.197</v>
      </c>
      <c r="H11" s="7" t="n">
        <v>2</v>
      </c>
      <c r="I11" s="5" t="n">
        <v>38139240</v>
      </c>
      <c r="J11" s="2" t="n">
        <v>6.30957344480193E-007</v>
      </c>
      <c r="K11" s="2" t="n">
        <v>6.2</v>
      </c>
      <c r="L11" s="2" t="n">
        <v>4.9</v>
      </c>
      <c r="M11" s="4" t="s">
        <v>24</v>
      </c>
      <c r="N11" s="2" t="n">
        <v>77</v>
      </c>
      <c r="O11" s="2" t="n">
        <v>0.803</v>
      </c>
      <c r="P11" s="2" t="s">
        <v>69</v>
      </c>
      <c r="Q11" s="2" t="s">
        <v>70</v>
      </c>
      <c r="R11" s="2" t="s">
        <v>33</v>
      </c>
      <c r="S11" s="2" t="s">
        <v>71</v>
      </c>
      <c r="T11" s="1" t="s">
        <v>72</v>
      </c>
    </row>
    <row r="12" customFormat="false" ht="12.8" hidden="false" customHeight="false" outlineLevel="0" collapsed="false">
      <c r="A12" s="2" t="s">
        <v>73</v>
      </c>
      <c r="B12" s="2" t="n">
        <v>0.831</v>
      </c>
      <c r="C12" s="2" t="s">
        <v>74</v>
      </c>
      <c r="D12" s="2" t="n">
        <v>0.834</v>
      </c>
      <c r="E12" s="2" t="s">
        <v>59</v>
      </c>
      <c r="F12" s="2" t="s">
        <v>23</v>
      </c>
      <c r="G12" s="2" t="n">
        <v>0.811</v>
      </c>
      <c r="H12" s="7" t="n">
        <v>2</v>
      </c>
      <c r="I12" s="3" t="n">
        <v>45124985</v>
      </c>
      <c r="J12" s="2" t="n">
        <v>1.10650328656033E-005</v>
      </c>
      <c r="K12" s="2" t="n">
        <v>4.956047</v>
      </c>
      <c r="L12" s="2" t="n">
        <v>4.896857</v>
      </c>
      <c r="M12" s="4" t="s">
        <v>24</v>
      </c>
      <c r="N12" s="2" t="n">
        <v>51</v>
      </c>
      <c r="O12" s="2" t="n">
        <v>0.811</v>
      </c>
      <c r="P12" s="2" t="s">
        <v>75</v>
      </c>
      <c r="Q12" s="2" t="s">
        <v>42</v>
      </c>
      <c r="R12" s="2" t="s">
        <v>76</v>
      </c>
      <c r="S12" s="2" t="s">
        <v>77</v>
      </c>
      <c r="T12" s="1" t="s">
        <v>78</v>
      </c>
    </row>
    <row r="13" customFormat="false" ht="12.8" hidden="false" customHeight="false" outlineLevel="0" collapsed="false">
      <c r="A13" s="2" t="s">
        <v>79</v>
      </c>
      <c r="B13" s="2" t="n">
        <v>0.601</v>
      </c>
      <c r="C13" s="2" t="s">
        <v>21</v>
      </c>
      <c r="D13" s="2" t="n">
        <v>0.605</v>
      </c>
      <c r="E13" s="2" t="s">
        <v>22</v>
      </c>
      <c r="F13" s="2" t="s">
        <v>23</v>
      </c>
      <c r="G13" s="2" t="n">
        <v>1.517</v>
      </c>
      <c r="H13" s="2" t="n">
        <v>3</v>
      </c>
      <c r="I13" s="8" t="n">
        <v>5231620</v>
      </c>
      <c r="J13" s="2" t="n">
        <v>8.51138038202376E-009</v>
      </c>
      <c r="K13" s="2" t="n">
        <v>8.07</v>
      </c>
      <c r="L13" s="2" t="n">
        <v>4.86</v>
      </c>
      <c r="M13" s="4" t="s">
        <v>24</v>
      </c>
      <c r="N13" s="2" t="n">
        <v>51</v>
      </c>
      <c r="O13" s="2" t="n">
        <v>0.483</v>
      </c>
      <c r="P13" s="2" t="s">
        <v>80</v>
      </c>
      <c r="Q13" s="2" t="s">
        <v>42</v>
      </c>
      <c r="R13" s="2" t="s">
        <v>33</v>
      </c>
      <c r="S13" s="2" t="s">
        <v>81</v>
      </c>
      <c r="T13" s="0"/>
    </row>
    <row r="14" customFormat="false" ht="12.8" hidden="false" customHeight="false" outlineLevel="0" collapsed="false">
      <c r="A14" s="2" t="s">
        <v>82</v>
      </c>
      <c r="B14" s="2" t="n">
        <v>0.825</v>
      </c>
      <c r="C14" s="2" t="s">
        <v>52</v>
      </c>
      <c r="D14" s="2" t="n">
        <v>0.829</v>
      </c>
      <c r="E14" s="2" t="s">
        <v>22</v>
      </c>
      <c r="F14" s="2" t="s">
        <v>23</v>
      </c>
      <c r="G14" s="2" t="n">
        <v>1.197</v>
      </c>
      <c r="H14" s="2" t="n">
        <v>3</v>
      </c>
      <c r="I14" s="3" t="n">
        <v>55211205</v>
      </c>
      <c r="J14" s="2" t="n">
        <v>9.77237220955811E-006</v>
      </c>
      <c r="K14" s="2" t="n">
        <v>5.01</v>
      </c>
      <c r="L14" s="2" t="n">
        <v>4.9</v>
      </c>
      <c r="M14" s="4" t="s">
        <v>24</v>
      </c>
      <c r="N14" s="2" t="n">
        <v>51</v>
      </c>
      <c r="O14" s="2" t="n">
        <v>0.803</v>
      </c>
      <c r="P14" s="2" t="s">
        <v>83</v>
      </c>
      <c r="Q14" s="2" t="s">
        <v>84</v>
      </c>
      <c r="R14" s="2" t="s">
        <v>33</v>
      </c>
      <c r="S14" s="2" t="s">
        <v>85</v>
      </c>
      <c r="T14" s="1" t="s">
        <v>29</v>
      </c>
    </row>
    <row r="15" customFormat="false" ht="12.8" hidden="false" customHeight="false" outlineLevel="0" collapsed="false">
      <c r="A15" s="2" t="s">
        <v>82</v>
      </c>
      <c r="B15" s="2" t="n">
        <v>0.954</v>
      </c>
      <c r="C15" s="2" t="s">
        <v>52</v>
      </c>
      <c r="D15" s="2" t="n">
        <v>0.958</v>
      </c>
      <c r="E15" s="2" t="s">
        <v>59</v>
      </c>
      <c r="F15" s="2" t="s">
        <v>23</v>
      </c>
      <c r="G15" s="2" t="n">
        <v>1.013</v>
      </c>
      <c r="H15" s="2" t="n">
        <v>3</v>
      </c>
      <c r="I15" s="3" t="n">
        <v>55211205</v>
      </c>
      <c r="J15" s="2" t="n">
        <v>7.4981169782486E-006</v>
      </c>
      <c r="K15" s="2" t="n">
        <v>5.125048</v>
      </c>
      <c r="L15" s="2" t="n">
        <v>4.896857</v>
      </c>
      <c r="M15" s="4" t="s">
        <v>24</v>
      </c>
      <c r="N15" s="2" t="n">
        <v>51</v>
      </c>
      <c r="O15" s="2" t="n">
        <v>0.987</v>
      </c>
      <c r="P15" s="2" t="s">
        <v>83</v>
      </c>
      <c r="Q15" s="2" t="s">
        <v>84</v>
      </c>
      <c r="R15" s="2" t="s">
        <v>33</v>
      </c>
      <c r="S15" s="2" t="s">
        <v>85</v>
      </c>
      <c r="T15" s="1" t="s">
        <v>29</v>
      </c>
    </row>
    <row r="16" customFormat="false" ht="12.8" hidden="false" customHeight="false" outlineLevel="0" collapsed="false">
      <c r="A16" s="2" t="s">
        <v>86</v>
      </c>
      <c r="B16" s="2" t="n">
        <v>0.955</v>
      </c>
      <c r="C16" s="2" t="s">
        <v>87</v>
      </c>
      <c r="D16" s="2" t="n">
        <v>0.958</v>
      </c>
      <c r="E16" s="2" t="s">
        <v>59</v>
      </c>
      <c r="F16" s="2" t="s">
        <v>23</v>
      </c>
      <c r="G16" s="2" t="n">
        <v>1.012</v>
      </c>
      <c r="H16" s="2" t="n">
        <v>4</v>
      </c>
      <c r="I16" s="3" t="n">
        <v>5765944</v>
      </c>
      <c r="J16" s="2" t="n">
        <v>6.74488843674569E-008</v>
      </c>
      <c r="K16" s="2" t="n">
        <v>7.171025</v>
      </c>
      <c r="L16" s="2" t="n">
        <v>4.896857</v>
      </c>
      <c r="M16" s="4" t="s">
        <v>24</v>
      </c>
      <c r="N16" s="2" t="n">
        <v>51</v>
      </c>
      <c r="O16" s="2" t="n">
        <v>0.988</v>
      </c>
      <c r="P16" s="2" t="s">
        <v>88</v>
      </c>
      <c r="Q16" s="2" t="s">
        <v>42</v>
      </c>
      <c r="R16" s="2" t="s">
        <v>33</v>
      </c>
      <c r="S16" s="2" t="s">
        <v>89</v>
      </c>
      <c r="T16" s="1" t="s">
        <v>90</v>
      </c>
    </row>
    <row r="17" customFormat="false" ht="12.8" hidden="false" customHeight="false" outlineLevel="0" collapsed="false">
      <c r="A17" s="2" t="s">
        <v>86</v>
      </c>
      <c r="B17" s="2" t="n">
        <v>0.864</v>
      </c>
      <c r="C17" s="2" t="s">
        <v>91</v>
      </c>
      <c r="D17" s="2" t="n">
        <v>0.867</v>
      </c>
      <c r="E17" s="2" t="s">
        <v>59</v>
      </c>
      <c r="F17" s="2" t="s">
        <v>23</v>
      </c>
      <c r="G17" s="2" t="n">
        <v>0.858</v>
      </c>
      <c r="H17" s="2" t="n">
        <v>4</v>
      </c>
      <c r="I17" s="3" t="n">
        <v>5765944</v>
      </c>
      <c r="J17" s="2" t="n">
        <v>2.39738936315418E-008</v>
      </c>
      <c r="K17" s="2" t="n">
        <v>7.620261</v>
      </c>
      <c r="L17" s="2" t="n">
        <v>4.896857</v>
      </c>
      <c r="M17" s="4" t="s">
        <v>24</v>
      </c>
      <c r="N17" s="2" t="n">
        <v>51</v>
      </c>
      <c r="O17" s="2" t="n">
        <v>0.858</v>
      </c>
      <c r="P17" s="2" t="s">
        <v>88</v>
      </c>
      <c r="Q17" s="2" t="s">
        <v>42</v>
      </c>
      <c r="R17" s="2" t="s">
        <v>33</v>
      </c>
      <c r="S17" s="2" t="s">
        <v>89</v>
      </c>
      <c r="T17" s="1" t="s">
        <v>90</v>
      </c>
    </row>
    <row r="18" customFormat="false" ht="12.8" hidden="false" customHeight="false" outlineLevel="0" collapsed="false">
      <c r="A18" s="2" t="s">
        <v>92</v>
      </c>
      <c r="B18" s="2" t="n">
        <v>0.895</v>
      </c>
      <c r="C18" s="2" t="s">
        <v>21</v>
      </c>
      <c r="D18" s="2" t="n">
        <v>0.87</v>
      </c>
      <c r="E18" s="2" t="s">
        <v>59</v>
      </c>
      <c r="F18" s="2" t="s">
        <v>23</v>
      </c>
      <c r="G18" s="2" t="n">
        <v>1.138</v>
      </c>
      <c r="H18" s="2" t="n">
        <v>7</v>
      </c>
      <c r="I18" s="8" t="n">
        <v>3398145</v>
      </c>
      <c r="J18" s="2" t="n">
        <v>3.38635207664938E-006</v>
      </c>
      <c r="K18" s="2" t="n">
        <v>5.470268</v>
      </c>
      <c r="L18" s="2" t="n">
        <v>4.896857</v>
      </c>
      <c r="M18" s="4" t="s">
        <v>24</v>
      </c>
      <c r="N18" s="2" t="n">
        <v>74</v>
      </c>
      <c r="O18" s="2" t="n">
        <v>0.862</v>
      </c>
      <c r="P18" s="2" t="s">
        <v>93</v>
      </c>
      <c r="Q18" s="2" t="s">
        <v>42</v>
      </c>
      <c r="R18" s="2" t="s">
        <v>94</v>
      </c>
      <c r="S18" s="2" t="s">
        <v>95</v>
      </c>
    </row>
    <row r="19" customFormat="false" ht="12.8" hidden="false" customHeight="false" outlineLevel="0" collapsed="false">
      <c r="A19" s="2" t="s">
        <v>96</v>
      </c>
      <c r="B19" s="2" t="n">
        <v>0.629</v>
      </c>
      <c r="C19" s="2" t="s">
        <v>21</v>
      </c>
      <c r="D19" s="2" t="n">
        <v>0.605</v>
      </c>
      <c r="E19" s="2" t="s">
        <v>22</v>
      </c>
      <c r="F19" s="2" t="s">
        <v>23</v>
      </c>
      <c r="G19" s="2" t="n">
        <v>1.517</v>
      </c>
      <c r="H19" s="2" t="n">
        <v>7</v>
      </c>
      <c r="I19" s="8" t="n">
        <v>3452120</v>
      </c>
      <c r="J19" s="2" t="n">
        <v>6.16595001861482E-006</v>
      </c>
      <c r="K19" s="2" t="n">
        <v>5.21</v>
      </c>
      <c r="L19" s="2" t="n">
        <v>4.86</v>
      </c>
      <c r="M19" s="4" t="s">
        <v>24</v>
      </c>
      <c r="N19" s="2" t="n">
        <v>74</v>
      </c>
      <c r="O19" s="2" t="n">
        <v>0.483</v>
      </c>
      <c r="P19" s="2" t="s">
        <v>97</v>
      </c>
      <c r="Q19" s="2" t="s">
        <v>98</v>
      </c>
      <c r="R19" s="2" t="s">
        <v>76</v>
      </c>
      <c r="S19" s="2" t="s">
        <v>99</v>
      </c>
    </row>
    <row r="20" customFormat="false" ht="12.8" hidden="false" customHeight="false" outlineLevel="0" collapsed="false">
      <c r="A20" s="2" t="s">
        <v>96</v>
      </c>
      <c r="B20" s="2" t="n">
        <v>0.895</v>
      </c>
      <c r="C20" s="2" t="s">
        <v>21</v>
      </c>
      <c r="D20" s="2" t="n">
        <v>0.87</v>
      </c>
      <c r="E20" s="2" t="s">
        <v>59</v>
      </c>
      <c r="F20" s="2" t="s">
        <v>23</v>
      </c>
      <c r="G20" s="2" t="n">
        <v>1.138</v>
      </c>
      <c r="H20" s="2" t="n">
        <v>7</v>
      </c>
      <c r="I20" s="8" t="n">
        <v>3452120</v>
      </c>
      <c r="J20" s="2" t="n">
        <v>5.03942944973161E-008</v>
      </c>
      <c r="K20" s="2" t="n">
        <v>7.297619</v>
      </c>
      <c r="L20" s="2" t="n">
        <v>4.896857</v>
      </c>
      <c r="M20" s="4" t="s">
        <v>24</v>
      </c>
      <c r="N20" s="2" t="n">
        <v>74</v>
      </c>
      <c r="O20" s="2" t="n">
        <v>0.862</v>
      </c>
      <c r="P20" s="2" t="s">
        <v>97</v>
      </c>
      <c r="Q20" s="2" t="s">
        <v>98</v>
      </c>
      <c r="R20" s="2" t="s">
        <v>76</v>
      </c>
      <c r="S20" s="2" t="s">
        <v>99</v>
      </c>
    </row>
    <row r="21" customFormat="false" ht="12.8" hidden="false" customHeight="false" outlineLevel="0" collapsed="false">
      <c r="A21" s="2" t="s">
        <v>100</v>
      </c>
      <c r="B21" s="2" t="n">
        <v>0.684</v>
      </c>
      <c r="C21" s="2" t="s">
        <v>47</v>
      </c>
      <c r="D21" s="2" t="n">
        <v>0.692</v>
      </c>
      <c r="E21" s="2" t="s">
        <v>22</v>
      </c>
      <c r="F21" s="2" t="s">
        <v>23</v>
      </c>
      <c r="G21" s="2" t="n">
        <v>1.393</v>
      </c>
      <c r="H21" s="2" t="n">
        <v>8</v>
      </c>
      <c r="I21" s="8" t="n">
        <v>1899939</v>
      </c>
      <c r="J21" s="2" t="n">
        <v>8.128305161641E-007</v>
      </c>
      <c r="K21" s="2" t="n">
        <v>6.09</v>
      </c>
      <c r="L21" s="2" t="n">
        <v>4.9</v>
      </c>
      <c r="M21" s="4" t="s">
        <v>24</v>
      </c>
      <c r="N21" s="2" t="n">
        <v>48</v>
      </c>
      <c r="O21" s="2" t="n">
        <v>0.607</v>
      </c>
      <c r="P21" s="2" t="s">
        <v>101</v>
      </c>
      <c r="Q21" s="2" t="s">
        <v>42</v>
      </c>
      <c r="R21" s="2" t="s">
        <v>42</v>
      </c>
      <c r="S21" s="2" t="s">
        <v>102</v>
      </c>
    </row>
    <row r="22" customFormat="false" ht="12.8" hidden="false" customHeight="false" outlineLevel="0" collapsed="false">
      <c r="A22" s="2" t="s">
        <v>100</v>
      </c>
      <c r="B22" s="2" t="n">
        <v>0.917</v>
      </c>
      <c r="C22" s="2" t="s">
        <v>47</v>
      </c>
      <c r="D22" s="2" t="n">
        <v>0.924</v>
      </c>
      <c r="E22" s="2" t="s">
        <v>59</v>
      </c>
      <c r="F22" s="2" t="s">
        <v>23</v>
      </c>
      <c r="G22" s="2" t="n">
        <v>1.061</v>
      </c>
      <c r="H22" s="2" t="n">
        <v>8</v>
      </c>
      <c r="I22" s="8" t="n">
        <v>1899939</v>
      </c>
      <c r="J22" s="2" t="n">
        <v>5.66019342410075E-008</v>
      </c>
      <c r="K22" s="2" t="n">
        <v>7.247169</v>
      </c>
      <c r="L22" s="2" t="n">
        <v>4.896857</v>
      </c>
      <c r="M22" s="4" t="s">
        <v>24</v>
      </c>
      <c r="N22" s="2" t="n">
        <v>48</v>
      </c>
      <c r="O22" s="2" t="n">
        <v>0.939</v>
      </c>
      <c r="P22" s="2" t="s">
        <v>101</v>
      </c>
      <c r="Q22" s="2" t="s">
        <v>42</v>
      </c>
      <c r="R22" s="2" t="s">
        <v>42</v>
      </c>
      <c r="S22" s="2" t="s">
        <v>102</v>
      </c>
    </row>
    <row r="23" customFormat="false" ht="12.8" hidden="false" customHeight="false" outlineLevel="0" collapsed="false">
      <c r="A23" s="2" t="s">
        <v>103</v>
      </c>
      <c r="B23" s="2" t="n">
        <v>0.951</v>
      </c>
      <c r="C23" s="2" t="s">
        <v>87</v>
      </c>
      <c r="D23" s="2" t="n">
        <v>0.958</v>
      </c>
      <c r="E23" s="2" t="s">
        <v>59</v>
      </c>
      <c r="F23" s="2" t="s">
        <v>23</v>
      </c>
      <c r="G23" s="2" t="n">
        <v>1.012</v>
      </c>
      <c r="H23" s="2" t="n">
        <v>8</v>
      </c>
      <c r="I23" s="8" t="n">
        <v>2472934</v>
      </c>
      <c r="J23" s="2" t="n">
        <v>4.63560265599629E-012</v>
      </c>
      <c r="K23" s="2" t="n">
        <v>11.333894</v>
      </c>
      <c r="L23" s="2" t="n">
        <v>4.896857</v>
      </c>
      <c r="M23" s="4" t="s">
        <v>24</v>
      </c>
      <c r="N23" s="2" t="n">
        <v>48</v>
      </c>
      <c r="O23" s="2" t="n">
        <v>0.988</v>
      </c>
      <c r="P23" s="2" t="s">
        <v>104</v>
      </c>
      <c r="Q23" s="2" t="s">
        <v>105</v>
      </c>
      <c r="R23" s="2" t="s">
        <v>43</v>
      </c>
      <c r="S23" s="2" t="s">
        <v>106</v>
      </c>
    </row>
    <row r="24" customFormat="false" ht="12.8" hidden="false" customHeight="false" outlineLevel="0" collapsed="false">
      <c r="A24" s="2" t="s">
        <v>103</v>
      </c>
      <c r="B24" s="2" t="n">
        <v>0.86</v>
      </c>
      <c r="C24" s="2" t="s">
        <v>91</v>
      </c>
      <c r="D24" s="2" t="n">
        <v>0.867</v>
      </c>
      <c r="E24" s="2" t="s">
        <v>59</v>
      </c>
      <c r="F24" s="2" t="s">
        <v>23</v>
      </c>
      <c r="G24" s="2" t="n">
        <v>0.858</v>
      </c>
      <c r="H24" s="2" t="n">
        <v>8</v>
      </c>
      <c r="I24" s="8" t="n">
        <v>2472934</v>
      </c>
      <c r="J24" s="2" t="n">
        <v>3.60761234029869E-007</v>
      </c>
      <c r="K24" s="2" t="n">
        <v>6.44278</v>
      </c>
      <c r="L24" s="2" t="n">
        <v>4.896857</v>
      </c>
      <c r="M24" s="4" t="s">
        <v>24</v>
      </c>
      <c r="N24" s="2" t="n">
        <v>48</v>
      </c>
      <c r="O24" s="2" t="n">
        <v>0.858</v>
      </c>
      <c r="P24" s="2" t="s">
        <v>104</v>
      </c>
      <c r="Q24" s="2" t="s">
        <v>105</v>
      </c>
      <c r="R24" s="2" t="s">
        <v>43</v>
      </c>
      <c r="S24" s="2" t="s">
        <v>106</v>
      </c>
    </row>
    <row r="25" customFormat="false" ht="12.8" hidden="false" customHeight="false" outlineLevel="0" collapsed="false">
      <c r="A25" s="2" t="s">
        <v>107</v>
      </c>
      <c r="B25" s="2" t="n">
        <v>0.866</v>
      </c>
      <c r="C25" s="2" t="s">
        <v>21</v>
      </c>
      <c r="D25" s="2" t="n">
        <v>0.87</v>
      </c>
      <c r="E25" s="2" t="s">
        <v>59</v>
      </c>
      <c r="F25" s="2" t="s">
        <v>23</v>
      </c>
      <c r="G25" s="2" t="n">
        <v>1.138</v>
      </c>
      <c r="H25" s="2" t="n">
        <v>9</v>
      </c>
      <c r="I25" s="8" t="n">
        <v>58172429</v>
      </c>
      <c r="J25" s="2" t="n">
        <v>4.1671081291795E-006</v>
      </c>
      <c r="K25" s="2" t="n">
        <v>5.380165</v>
      </c>
      <c r="L25" s="2" t="n">
        <v>4.896857</v>
      </c>
      <c r="M25" s="4" t="s">
        <v>24</v>
      </c>
      <c r="N25" s="2" t="n">
        <v>51</v>
      </c>
      <c r="O25" s="2" t="n">
        <v>0.862</v>
      </c>
      <c r="P25" s="2" t="s">
        <v>108</v>
      </c>
      <c r="Q25" s="2" t="s">
        <v>109</v>
      </c>
      <c r="R25" s="2" t="s">
        <v>33</v>
      </c>
      <c r="S25" s="2" t="s">
        <v>110</v>
      </c>
    </row>
    <row r="26" customFormat="false" ht="12.8" hidden="false" customHeight="false" outlineLevel="0" collapsed="false">
      <c r="A26" s="2" t="s">
        <v>111</v>
      </c>
      <c r="B26" s="2" t="n">
        <v>0.938</v>
      </c>
      <c r="C26" s="2" t="s">
        <v>112</v>
      </c>
      <c r="D26" s="2" t="n">
        <v>0.942</v>
      </c>
      <c r="E26" s="2" t="s">
        <v>59</v>
      </c>
      <c r="F26" s="2" t="s">
        <v>23</v>
      </c>
      <c r="G26" s="2" t="n">
        <v>1.035</v>
      </c>
      <c r="H26" s="7" t="n">
        <v>11</v>
      </c>
      <c r="I26" s="8" t="n">
        <v>13277951</v>
      </c>
      <c r="J26" s="2" t="n">
        <v>4.78209002235405E-006</v>
      </c>
      <c r="K26" s="2" t="n">
        <v>5.320382</v>
      </c>
      <c r="L26" s="2" t="n">
        <v>4.896857</v>
      </c>
      <c r="M26" s="4" t="s">
        <v>24</v>
      </c>
      <c r="N26" s="2" t="n">
        <v>51</v>
      </c>
      <c r="O26" s="2" t="n">
        <v>0.965</v>
      </c>
      <c r="P26" s="2" t="s">
        <v>113</v>
      </c>
      <c r="Q26" s="2" t="s">
        <v>114</v>
      </c>
      <c r="R26" s="2" t="s">
        <v>33</v>
      </c>
      <c r="S26" s="2" t="s">
        <v>115</v>
      </c>
    </row>
    <row r="27" customFormat="false" ht="12.8" hidden="false" customHeight="false" outlineLevel="0" collapsed="false">
      <c r="A27" s="2" t="s">
        <v>116</v>
      </c>
      <c r="B27" s="2" t="n">
        <v>0.938</v>
      </c>
      <c r="C27" s="2" t="s">
        <v>112</v>
      </c>
      <c r="D27" s="2" t="n">
        <v>0.942</v>
      </c>
      <c r="E27" s="2" t="s">
        <v>59</v>
      </c>
      <c r="F27" s="2" t="s">
        <v>23</v>
      </c>
      <c r="G27" s="2" t="n">
        <v>1.035</v>
      </c>
      <c r="H27" s="7" t="n">
        <v>11</v>
      </c>
      <c r="I27" s="8" t="n">
        <v>28989434</v>
      </c>
      <c r="J27" s="2" t="n">
        <v>3.63036289306436E-006</v>
      </c>
      <c r="K27" s="2" t="n">
        <v>5.44005</v>
      </c>
      <c r="L27" s="2" t="n">
        <v>4.896857</v>
      </c>
      <c r="M27" s="4" t="s">
        <v>24</v>
      </c>
      <c r="N27" s="2" t="n">
        <v>51</v>
      </c>
      <c r="O27" s="2" t="n">
        <v>0.965</v>
      </c>
      <c r="P27" s="2" t="s">
        <v>117</v>
      </c>
      <c r="Q27" s="2" t="s">
        <v>118</v>
      </c>
      <c r="R27" s="2" t="s">
        <v>27</v>
      </c>
      <c r="S27" s="2" t="s">
        <v>119</v>
      </c>
    </row>
    <row r="28" customFormat="false" ht="12.8" hidden="false" customHeight="false" outlineLevel="0" collapsed="false">
      <c r="A28" s="2" t="s">
        <v>116</v>
      </c>
      <c r="B28" s="2" t="n">
        <v>0.857</v>
      </c>
      <c r="C28" s="2" t="s">
        <v>112</v>
      </c>
      <c r="D28" s="2" t="n">
        <v>0.86</v>
      </c>
      <c r="E28" s="2" t="s">
        <v>22</v>
      </c>
      <c r="F28" s="2" t="s">
        <v>23</v>
      </c>
      <c r="G28" s="2" t="n">
        <v>1.152</v>
      </c>
      <c r="H28" s="7" t="n">
        <v>11</v>
      </c>
      <c r="I28" s="8" t="n">
        <v>28989434</v>
      </c>
      <c r="J28" s="2" t="n">
        <v>2.39883291901949E-006</v>
      </c>
      <c r="K28" s="2" t="n">
        <v>5.62</v>
      </c>
      <c r="L28" s="2" t="n">
        <v>4.9</v>
      </c>
      <c r="M28" s="4" t="s">
        <v>24</v>
      </c>
      <c r="N28" s="2" t="n">
        <v>51</v>
      </c>
      <c r="O28" s="2" t="n">
        <v>0.848</v>
      </c>
      <c r="P28" s="2" t="s">
        <v>117</v>
      </c>
      <c r="Q28" s="2" t="s">
        <v>118</v>
      </c>
      <c r="R28" s="2" t="s">
        <v>27</v>
      </c>
      <c r="S28" s="2" t="s">
        <v>119</v>
      </c>
    </row>
    <row r="29" customFormat="false" ht="12.8" hidden="false" customHeight="false" outlineLevel="0" collapsed="false">
      <c r="A29" s="2" t="s">
        <v>120</v>
      </c>
      <c r="B29" s="2" t="n">
        <v>0.924</v>
      </c>
      <c r="C29" s="2" t="s">
        <v>121</v>
      </c>
      <c r="D29" s="2" t="n">
        <v>0.928</v>
      </c>
      <c r="E29" s="2" t="s">
        <v>59</v>
      </c>
      <c r="F29" s="2" t="s">
        <v>23</v>
      </c>
      <c r="G29" s="2" t="n">
        <v>0.945</v>
      </c>
      <c r="H29" s="7" t="n">
        <v>11</v>
      </c>
      <c r="I29" s="8" t="n">
        <v>29258142</v>
      </c>
      <c r="J29" s="2" t="n">
        <v>1.22711701902284E-005</v>
      </c>
      <c r="K29" s="2" t="n">
        <v>4.911114</v>
      </c>
      <c r="L29" s="2" t="n">
        <v>4.896857</v>
      </c>
      <c r="M29" s="4" t="s">
        <v>24</v>
      </c>
      <c r="N29" s="2" t="n">
        <v>51</v>
      </c>
      <c r="O29" s="2" t="n">
        <v>0.945</v>
      </c>
      <c r="P29" s="2" t="s">
        <v>122</v>
      </c>
      <c r="Q29" s="2" t="s">
        <v>32</v>
      </c>
      <c r="R29" s="2" t="s">
        <v>43</v>
      </c>
      <c r="S29" s="2" t="s">
        <v>123</v>
      </c>
    </row>
    <row r="30" customFormat="false" ht="12.8" hidden="false" customHeight="false" outlineLevel="0" collapsed="false">
      <c r="A30" s="2" t="s">
        <v>120</v>
      </c>
      <c r="B30" s="2" t="n">
        <v>0.857</v>
      </c>
      <c r="C30" s="2" t="s">
        <v>112</v>
      </c>
      <c r="D30" s="2" t="n">
        <v>0.86</v>
      </c>
      <c r="E30" s="2" t="s">
        <v>22</v>
      </c>
      <c r="F30" s="2" t="s">
        <v>23</v>
      </c>
      <c r="G30" s="2" t="n">
        <v>1.152</v>
      </c>
      <c r="H30" s="7" t="n">
        <v>11</v>
      </c>
      <c r="I30" s="8" t="n">
        <v>29258142</v>
      </c>
      <c r="J30" s="2" t="n">
        <v>2.18776162394955E-006</v>
      </c>
      <c r="K30" s="2" t="n">
        <v>5.66</v>
      </c>
      <c r="L30" s="2" t="n">
        <v>4.9</v>
      </c>
      <c r="M30" s="4" t="s">
        <v>24</v>
      </c>
      <c r="N30" s="2" t="n">
        <v>51</v>
      </c>
      <c r="O30" s="2" t="n">
        <v>0.848</v>
      </c>
      <c r="P30" s="2" t="s">
        <v>122</v>
      </c>
      <c r="Q30" s="2" t="s">
        <v>32</v>
      </c>
      <c r="R30" s="2" t="s">
        <v>43</v>
      </c>
      <c r="S30" s="2" t="s">
        <v>123</v>
      </c>
    </row>
    <row r="31" customFormat="false" ht="12.8" hidden="false" customHeight="false" outlineLevel="0" collapsed="false">
      <c r="A31" s="2" t="s">
        <v>120</v>
      </c>
      <c r="B31" s="2" t="n">
        <v>0.938</v>
      </c>
      <c r="C31" s="2" t="s">
        <v>112</v>
      </c>
      <c r="D31" s="2" t="n">
        <v>0.942</v>
      </c>
      <c r="E31" s="2" t="s">
        <v>59</v>
      </c>
      <c r="F31" s="2" t="s">
        <v>23</v>
      </c>
      <c r="G31" s="2" t="n">
        <v>1.035</v>
      </c>
      <c r="H31" s="7" t="n">
        <v>11</v>
      </c>
      <c r="I31" s="8" t="n">
        <v>29258142</v>
      </c>
      <c r="J31" s="2" t="n">
        <v>4.14696386428646E-006</v>
      </c>
      <c r="K31" s="2" t="n">
        <v>5.38227</v>
      </c>
      <c r="L31" s="2" t="n">
        <v>4.896857</v>
      </c>
      <c r="M31" s="4" t="s">
        <v>24</v>
      </c>
      <c r="N31" s="2" t="n">
        <v>51</v>
      </c>
      <c r="O31" s="2" t="n">
        <v>0.965</v>
      </c>
      <c r="P31" s="2" t="s">
        <v>122</v>
      </c>
      <c r="Q31" s="2" t="s">
        <v>32</v>
      </c>
      <c r="R31" s="2" t="s">
        <v>43</v>
      </c>
      <c r="S31" s="2" t="s">
        <v>123</v>
      </c>
    </row>
  </sheetData>
  <autoFilter ref="A1:S3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M5" activeCellId="0" sqref="M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9"/>
    <col collapsed="false" customWidth="true" hidden="false" outlineLevel="0" max="10" min="10" style="1" width="14.42"/>
  </cols>
  <sheetData>
    <row r="1" customFormat="false" ht="12.8" hidden="false" customHeight="false" outlineLevel="0" collapsed="false">
      <c r="A1" s="9" t="s">
        <v>124</v>
      </c>
      <c r="B1" s="10" t="s">
        <v>125</v>
      </c>
      <c r="C1" s="10" t="s">
        <v>47</v>
      </c>
      <c r="D1" s="10" t="s">
        <v>52</v>
      </c>
      <c r="E1" s="10" t="s">
        <v>121</v>
      </c>
      <c r="F1" s="10" t="s">
        <v>112</v>
      </c>
      <c r="G1" s="10" t="s">
        <v>87</v>
      </c>
      <c r="H1" s="10" t="s">
        <v>91</v>
      </c>
      <c r="I1" s="10" t="s">
        <v>21</v>
      </c>
      <c r="J1" s="10" t="s">
        <v>74</v>
      </c>
      <c r="K1" s="10" t="s">
        <v>58</v>
      </c>
      <c r="L1" s="10" t="s">
        <v>126</v>
      </c>
      <c r="M1" s="1" t="s">
        <v>127</v>
      </c>
    </row>
    <row r="2" customFormat="false" ht="12.8" hidden="false" customHeight="false" outlineLevel="0" collapsed="false">
      <c r="A2" s="11" t="s">
        <v>128</v>
      </c>
      <c r="D2" s="1" t="n">
        <v>1</v>
      </c>
      <c r="I2" s="1"/>
      <c r="L2" s="1" t="n">
        <f aca="false">SUM(B2:K2)</f>
        <v>1</v>
      </c>
      <c r="M2" s="12" t="n">
        <f aca="false">L2/$L$10</f>
        <v>0.0833333333333333</v>
      </c>
      <c r="N2" s="1" t="s">
        <v>128</v>
      </c>
    </row>
    <row r="3" customFormat="false" ht="23.85" hidden="false" customHeight="false" outlineLevel="0" collapsed="false">
      <c r="A3" s="11" t="s">
        <v>129</v>
      </c>
      <c r="D3" s="1" t="n">
        <v>1</v>
      </c>
      <c r="I3" s="1"/>
      <c r="L3" s="1" t="n">
        <f aca="false">SUM(B3:K3)</f>
        <v>1</v>
      </c>
      <c r="M3" s="12" t="n">
        <f aca="false">L3/$L$10</f>
        <v>0.0833333333333333</v>
      </c>
      <c r="N3" s="1" t="s">
        <v>130</v>
      </c>
    </row>
    <row r="4" customFormat="false" ht="12.8" hidden="false" customHeight="false" outlineLevel="0" collapsed="false">
      <c r="A4" s="11" t="s">
        <v>131</v>
      </c>
      <c r="F4" s="1" t="n">
        <v>1</v>
      </c>
      <c r="G4" s="1" t="n">
        <v>1</v>
      </c>
      <c r="H4" s="1" t="n">
        <v>1</v>
      </c>
      <c r="I4" s="1"/>
      <c r="L4" s="1" t="n">
        <f aca="false">SUM(B4:K4)</f>
        <v>3</v>
      </c>
      <c r="M4" s="12" t="n">
        <f aca="false">L4/$L$10</f>
        <v>0.25</v>
      </c>
      <c r="N4" s="1" t="s">
        <v>130</v>
      </c>
    </row>
    <row r="5" customFormat="false" ht="12.8" hidden="false" customHeight="false" outlineLevel="0" collapsed="false">
      <c r="A5" s="11" t="s">
        <v>132</v>
      </c>
      <c r="G5" s="1" t="n">
        <v>1</v>
      </c>
      <c r="H5" s="1" t="n">
        <v>1</v>
      </c>
      <c r="I5" s="1" t="n">
        <v>1</v>
      </c>
      <c r="L5" s="1" t="n">
        <f aca="false">SUM(B5:K5)</f>
        <v>3</v>
      </c>
      <c r="M5" s="12" t="n">
        <f aca="false">L5/$L$10</f>
        <v>0.25</v>
      </c>
      <c r="N5" s="1" t="s">
        <v>130</v>
      </c>
    </row>
    <row r="6" customFormat="false" ht="12.8" hidden="false" customHeight="false" outlineLevel="0" collapsed="false">
      <c r="A6" s="11" t="s">
        <v>133</v>
      </c>
      <c r="I6" s="1" t="n">
        <v>1</v>
      </c>
      <c r="L6" s="1" t="n">
        <f aca="false">SUM(B6:K6)</f>
        <v>1</v>
      </c>
      <c r="M6" s="12" t="n">
        <f aca="false">L6/$L$10</f>
        <v>0.0833333333333333</v>
      </c>
      <c r="N6" s="1" t="s">
        <v>130</v>
      </c>
    </row>
    <row r="7" customFormat="false" ht="12.8" hidden="false" customHeight="false" outlineLevel="0" collapsed="false">
      <c r="A7" s="11" t="s">
        <v>134</v>
      </c>
      <c r="I7" s="1" t="n">
        <v>1</v>
      </c>
      <c r="L7" s="1" t="n">
        <f aca="false">SUM(B7:K7)</f>
        <v>1</v>
      </c>
      <c r="M7" s="12" t="n">
        <f aca="false">L7/$L$10</f>
        <v>0.0833333333333333</v>
      </c>
      <c r="N7" s="1" t="s">
        <v>130</v>
      </c>
    </row>
    <row r="8" customFormat="false" ht="12.8" hidden="false" customHeight="false" outlineLevel="0" collapsed="false">
      <c r="A8" s="11" t="s">
        <v>135</v>
      </c>
      <c r="I8" s="1"/>
      <c r="J8" s="1" t="n">
        <v>1</v>
      </c>
      <c r="L8" s="1" t="n">
        <f aca="false">SUM(B8:K8)</f>
        <v>1</v>
      </c>
      <c r="M8" s="12" t="n">
        <f aca="false">L8/$L$10</f>
        <v>0.0833333333333333</v>
      </c>
      <c r="N8" s="1" t="s">
        <v>130</v>
      </c>
    </row>
    <row r="9" customFormat="false" ht="12.8" hidden="false" customHeight="false" outlineLevel="0" collapsed="false">
      <c r="A9" s="11" t="s">
        <v>136</v>
      </c>
      <c r="I9" s="1"/>
      <c r="K9" s="1" t="n">
        <v>1</v>
      </c>
      <c r="L9" s="1" t="n">
        <f aca="false">SUM(B9:K9)</f>
        <v>1</v>
      </c>
      <c r="M9" s="12" t="n">
        <f aca="false">L9/$L$10</f>
        <v>0.0833333333333333</v>
      </c>
      <c r="N9" s="1" t="s">
        <v>130</v>
      </c>
    </row>
    <row r="10" customFormat="false" ht="12.8" hidden="false" customHeight="false" outlineLevel="0" collapsed="false">
      <c r="B10" s="1" t="n">
        <f aca="false">SUM(B2:B9)</f>
        <v>0</v>
      </c>
      <c r="C10" s="1" t="n">
        <f aca="false">SUM(C2:C9)</f>
        <v>0</v>
      </c>
      <c r="D10" s="1" t="n">
        <f aca="false">SUM(D2:D9)</f>
        <v>2</v>
      </c>
      <c r="E10" s="1" t="n">
        <f aca="false">SUM(E2:E9)</f>
        <v>0</v>
      </c>
      <c r="F10" s="1" t="n">
        <f aca="false">SUM(F2:F9)</f>
        <v>1</v>
      </c>
      <c r="G10" s="1" t="n">
        <f aca="false">SUM(G2:G9)</f>
        <v>2</v>
      </c>
      <c r="H10" s="1" t="n">
        <f aca="false">SUM(H2:H9)</f>
        <v>2</v>
      </c>
      <c r="I10" s="1" t="n">
        <f aca="false">SUM(I2:I9)</f>
        <v>3</v>
      </c>
      <c r="J10" s="1" t="n">
        <f aca="false">SUM(J2:J9)</f>
        <v>1</v>
      </c>
      <c r="K10" s="1" t="n">
        <f aca="false">SUM(K2:K9)</f>
        <v>1</v>
      </c>
      <c r="L10" s="1" t="n">
        <f aca="false">SUM(L2:L9)</f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J8" activeCellId="0" sqref="J8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3.03"/>
    <col collapsed="false" customWidth="true" hidden="false" outlineLevel="0" max="8" min="8" style="1" width="30.29"/>
    <col collapsed="false" customWidth="true" hidden="false" outlineLevel="0" max="9" min="9" style="1" width="24.72"/>
    <col collapsed="false" customWidth="true" hidden="false" outlineLevel="0" max="13" min="13" style="1" width="27.76"/>
  </cols>
  <sheetData>
    <row r="1" customFormat="false" ht="15" hidden="false" customHeight="true" outlineLevel="0" collapsed="false">
      <c r="A1" s="2" t="s">
        <v>111</v>
      </c>
      <c r="B1" s="2" t="n">
        <v>11</v>
      </c>
      <c r="C1" s="2" t="n">
        <v>13277951</v>
      </c>
      <c r="H1" s="13" t="s">
        <v>137</v>
      </c>
      <c r="I1" s="13"/>
      <c r="J1" s="13"/>
      <c r="K1" s="13"/>
      <c r="L1" s="13"/>
      <c r="M1" s="13"/>
    </row>
    <row r="2" customFormat="false" ht="12.8" hidden="false" customHeight="false" outlineLevel="0" collapsed="false">
      <c r="A2" s="2" t="s">
        <v>73</v>
      </c>
      <c r="B2" s="2" t="n">
        <v>2</v>
      </c>
      <c r="C2" s="2" t="n">
        <v>45124985</v>
      </c>
      <c r="H2" s="14" t="s">
        <v>138</v>
      </c>
      <c r="I2" s="14" t="s">
        <v>139</v>
      </c>
      <c r="J2" s="14" t="s">
        <v>140</v>
      </c>
      <c r="K2" s="14" t="s">
        <v>141</v>
      </c>
      <c r="L2" s="14" t="s">
        <v>142</v>
      </c>
      <c r="M2" s="14" t="s">
        <v>143</v>
      </c>
    </row>
    <row r="3" customFormat="false" ht="23.85" hidden="false" customHeight="false" outlineLevel="0" collapsed="false">
      <c r="A3" s="2" t="s">
        <v>46</v>
      </c>
      <c r="B3" s="2" t="n">
        <v>2</v>
      </c>
      <c r="C3" s="15" t="n">
        <v>24792151</v>
      </c>
      <c r="H3" s="16" t="s">
        <v>144</v>
      </c>
      <c r="I3" s="17" t="s">
        <v>69</v>
      </c>
      <c r="J3" s="16" t="n">
        <v>2</v>
      </c>
      <c r="K3" s="18" t="s">
        <v>145</v>
      </c>
      <c r="L3" s="16" t="s">
        <v>146</v>
      </c>
      <c r="M3" s="19" t="s">
        <v>147</v>
      </c>
    </row>
    <row r="4" customFormat="false" ht="23.85" hidden="false" customHeight="false" outlineLevel="0" collapsed="false">
      <c r="A4" s="2" t="s">
        <v>53</v>
      </c>
      <c r="B4" s="2" t="n">
        <v>2</v>
      </c>
      <c r="C4" s="15" t="n">
        <v>26621058</v>
      </c>
      <c r="H4" s="20" t="s">
        <v>148</v>
      </c>
      <c r="I4" s="21" t="s">
        <v>149</v>
      </c>
      <c r="J4" s="20" t="n">
        <v>11</v>
      </c>
      <c r="K4" s="22" t="s">
        <v>145</v>
      </c>
      <c r="L4" s="20" t="s">
        <v>146</v>
      </c>
      <c r="M4" s="20" t="s">
        <v>150</v>
      </c>
    </row>
    <row r="5" customFormat="false" ht="12.8" hidden="false" customHeight="false" outlineLevel="0" collapsed="false">
      <c r="A5" s="2" t="s">
        <v>107</v>
      </c>
      <c r="B5" s="2" t="n">
        <v>9</v>
      </c>
      <c r="C5" s="2" t="n">
        <v>58172429</v>
      </c>
      <c r="H5" s="20" t="s">
        <v>151</v>
      </c>
      <c r="I5" s="20" t="s">
        <v>152</v>
      </c>
      <c r="J5" s="20" t="n">
        <v>5</v>
      </c>
      <c r="K5" s="20" t="s">
        <v>146</v>
      </c>
      <c r="L5" s="20" t="s">
        <v>146</v>
      </c>
      <c r="M5" s="23" t="s">
        <v>153</v>
      </c>
    </row>
    <row r="6" customFormat="false" ht="12.8" hidden="false" customHeight="false" outlineLevel="0" collapsed="false">
      <c r="A6" s="2" t="s">
        <v>30</v>
      </c>
      <c r="B6" s="2" t="n">
        <v>1</v>
      </c>
      <c r="C6" s="24" t="n">
        <v>75668861</v>
      </c>
      <c r="H6" s="20" t="s">
        <v>154</v>
      </c>
      <c r="I6" s="20" t="s">
        <v>155</v>
      </c>
      <c r="J6" s="20" t="n">
        <v>9</v>
      </c>
      <c r="K6" s="20" t="s">
        <v>146</v>
      </c>
      <c r="L6" s="20" t="s">
        <v>146</v>
      </c>
      <c r="M6" s="23" t="s">
        <v>156</v>
      </c>
    </row>
    <row r="7" customFormat="false" ht="12.8" hidden="false" customHeight="false" outlineLevel="0" collapsed="false">
      <c r="A7" s="2" t="s">
        <v>116</v>
      </c>
      <c r="B7" s="2" t="n">
        <v>11</v>
      </c>
      <c r="C7" s="2" t="n">
        <v>28989434</v>
      </c>
      <c r="H7" s="20" t="s">
        <v>157</v>
      </c>
      <c r="I7" s="20" t="s">
        <v>158</v>
      </c>
      <c r="J7" s="20" t="n">
        <v>5</v>
      </c>
      <c r="K7" s="20" t="s">
        <v>146</v>
      </c>
      <c r="L7" s="20" t="s">
        <v>146</v>
      </c>
      <c r="M7" s="23" t="s">
        <v>153</v>
      </c>
    </row>
    <row r="8" customFormat="false" ht="12.8" hidden="false" customHeight="false" outlineLevel="0" collapsed="false">
      <c r="A8" s="2" t="s">
        <v>120</v>
      </c>
      <c r="B8" s="2" t="n">
        <v>11</v>
      </c>
      <c r="C8" s="2" t="n">
        <v>29258142</v>
      </c>
      <c r="H8" s="20" t="s">
        <v>159</v>
      </c>
      <c r="I8" s="20" t="s">
        <v>160</v>
      </c>
      <c r="J8" s="20" t="n">
        <v>5</v>
      </c>
      <c r="K8" s="20" t="s">
        <v>146</v>
      </c>
      <c r="L8" s="20" t="s">
        <v>146</v>
      </c>
      <c r="M8" s="23" t="s">
        <v>156</v>
      </c>
    </row>
    <row r="9" customFormat="false" ht="12.8" hidden="false" customHeight="false" outlineLevel="0" collapsed="false">
      <c r="A9" s="2" t="s">
        <v>36</v>
      </c>
      <c r="B9" s="2" t="n">
        <v>1</v>
      </c>
      <c r="C9" s="2" t="n">
        <v>78044268</v>
      </c>
      <c r="H9" s="25" t="s">
        <v>161</v>
      </c>
      <c r="I9" s="25" t="s">
        <v>162</v>
      </c>
      <c r="J9" s="25" t="n">
        <v>2</v>
      </c>
      <c r="K9" s="25" t="s">
        <v>146</v>
      </c>
      <c r="L9" s="25" t="s">
        <v>146</v>
      </c>
      <c r="M9" s="26" t="s">
        <v>163</v>
      </c>
    </row>
    <row r="10" customFormat="false" ht="12.8" hidden="false" customHeight="false" outlineLevel="0" collapsed="false">
      <c r="A10" s="2" t="s">
        <v>68</v>
      </c>
      <c r="B10" s="2" t="n">
        <v>2</v>
      </c>
      <c r="C10" s="24" t="n">
        <v>38139240</v>
      </c>
      <c r="H10" s="27" t="s">
        <v>164</v>
      </c>
      <c r="I10" s="27" t="s">
        <v>165</v>
      </c>
      <c r="J10" s="27" t="n">
        <v>8</v>
      </c>
      <c r="K10" s="27" t="s">
        <v>146</v>
      </c>
      <c r="L10" s="27" t="s">
        <v>146</v>
      </c>
      <c r="M10" s="28" t="s">
        <v>166</v>
      </c>
    </row>
    <row r="11" customFormat="false" ht="23.85" hidden="false" customHeight="false" outlineLevel="0" collapsed="false">
      <c r="A11" s="2" t="s">
        <v>64</v>
      </c>
      <c r="B11" s="2" t="n">
        <v>2</v>
      </c>
      <c r="C11" s="29" t="n">
        <v>37793674</v>
      </c>
      <c r="H11" s="6" t="s">
        <v>167</v>
      </c>
      <c r="I11" s="6" t="s">
        <v>168</v>
      </c>
      <c r="J11" s="6" t="n">
        <v>9</v>
      </c>
      <c r="K11" s="6" t="s">
        <v>146</v>
      </c>
      <c r="L11" s="6" t="s">
        <v>146</v>
      </c>
      <c r="M11" s="30" t="s">
        <v>169</v>
      </c>
    </row>
    <row r="12" customFormat="false" ht="12.8" hidden="false" customHeight="false" outlineLevel="0" collapsed="false">
      <c r="A12" s="2" t="s">
        <v>82</v>
      </c>
      <c r="B12" s="2" t="n">
        <v>3</v>
      </c>
      <c r="C12" s="31" t="n">
        <v>55211205</v>
      </c>
      <c r="H12" s="6" t="s">
        <v>170</v>
      </c>
      <c r="I12" s="6" t="s">
        <v>171</v>
      </c>
      <c r="J12" s="6" t="n">
        <v>9</v>
      </c>
      <c r="K12" s="6" t="s">
        <v>146</v>
      </c>
      <c r="L12" s="6" t="s">
        <v>146</v>
      </c>
      <c r="M12" s="30" t="s">
        <v>172</v>
      </c>
    </row>
    <row r="13" customFormat="false" ht="12.8" hidden="false" customHeight="false" outlineLevel="0" collapsed="false">
      <c r="A13" s="2" t="s">
        <v>20</v>
      </c>
      <c r="B13" s="2" t="n">
        <v>1</v>
      </c>
      <c r="C13" s="32" t="n">
        <v>67822946</v>
      </c>
      <c r="H13" s="6" t="s">
        <v>170</v>
      </c>
      <c r="I13" s="6" t="s">
        <v>173</v>
      </c>
      <c r="J13" s="6" t="n">
        <v>12</v>
      </c>
      <c r="K13" s="6" t="s">
        <v>146</v>
      </c>
      <c r="L13" s="6" t="s">
        <v>146</v>
      </c>
      <c r="M13" s="30" t="s">
        <v>156</v>
      </c>
    </row>
    <row r="14" customFormat="false" ht="12.8" hidden="false" customHeight="false" outlineLevel="0" collapsed="false">
      <c r="A14" s="2" t="s">
        <v>86</v>
      </c>
      <c r="B14" s="2" t="n">
        <v>4</v>
      </c>
      <c r="C14" s="15" t="n">
        <v>5765944</v>
      </c>
      <c r="H14" s="6" t="s">
        <v>170</v>
      </c>
      <c r="I14" s="6" t="s">
        <v>174</v>
      </c>
      <c r="J14" s="6" t="n">
        <v>2</v>
      </c>
      <c r="K14" s="6" t="s">
        <v>146</v>
      </c>
      <c r="L14" s="6" t="s">
        <v>146</v>
      </c>
      <c r="M14" s="30" t="s">
        <v>156</v>
      </c>
    </row>
    <row r="15" customFormat="false" ht="12.8" hidden="false" customHeight="false" outlineLevel="0" collapsed="false">
      <c r="A15" s="2" t="s">
        <v>40</v>
      </c>
      <c r="B15" s="2" t="n">
        <v>1</v>
      </c>
      <c r="C15" s="2" t="n">
        <v>78177940</v>
      </c>
      <c r="H15" s="6" t="s">
        <v>175</v>
      </c>
      <c r="I15" s="6" t="s">
        <v>176</v>
      </c>
      <c r="J15" s="6" t="n">
        <v>2</v>
      </c>
      <c r="K15" s="6" t="s">
        <v>146</v>
      </c>
      <c r="L15" s="6" t="s">
        <v>146</v>
      </c>
      <c r="M15" s="30" t="s">
        <v>177</v>
      </c>
    </row>
    <row r="16" customFormat="false" ht="12.8" hidden="false" customHeight="false" outlineLevel="0" collapsed="false">
      <c r="A16" s="2" t="s">
        <v>57</v>
      </c>
      <c r="B16" s="2" t="n">
        <v>2</v>
      </c>
      <c r="C16" s="33" t="n">
        <v>34015955</v>
      </c>
      <c r="H16" s="6" t="s">
        <v>178</v>
      </c>
      <c r="I16" s="6" t="s">
        <v>179</v>
      </c>
      <c r="J16" s="6" t="n">
        <v>3</v>
      </c>
      <c r="K16" s="6" t="s">
        <v>146</v>
      </c>
      <c r="L16" s="6" t="s">
        <v>146</v>
      </c>
      <c r="M16" s="30" t="s">
        <v>180</v>
      </c>
    </row>
    <row r="17" customFormat="false" ht="12.8" hidden="false" customHeight="false" outlineLevel="0" collapsed="false">
      <c r="A17" s="2" t="s">
        <v>79</v>
      </c>
      <c r="B17" s="2" t="n">
        <v>3</v>
      </c>
      <c r="C17" s="15" t="n">
        <v>5231620</v>
      </c>
      <c r="H17" s="6" t="s">
        <v>181</v>
      </c>
      <c r="I17" s="6" t="s">
        <v>182</v>
      </c>
      <c r="J17" s="6" t="n">
        <v>6</v>
      </c>
      <c r="K17" s="6" t="s">
        <v>146</v>
      </c>
      <c r="L17" s="6" t="s">
        <v>146</v>
      </c>
      <c r="M17" s="30" t="s">
        <v>183</v>
      </c>
    </row>
    <row r="18" customFormat="false" ht="12.8" hidden="false" customHeight="false" outlineLevel="0" collapsed="false">
      <c r="A18" s="2" t="s">
        <v>100</v>
      </c>
      <c r="B18" s="2" t="n">
        <v>8</v>
      </c>
      <c r="C18" s="2" t="n">
        <v>1899939</v>
      </c>
    </row>
    <row r="19" customFormat="false" ht="12.8" hidden="false" customHeight="false" outlineLevel="0" collapsed="false">
      <c r="A19" s="2" t="s">
        <v>92</v>
      </c>
      <c r="B19" s="2" t="n">
        <v>7</v>
      </c>
      <c r="C19" s="2" t="n">
        <v>3398145</v>
      </c>
    </row>
    <row r="20" customFormat="false" ht="12.8" hidden="false" customHeight="false" outlineLevel="0" collapsed="false">
      <c r="A20" s="2" t="s">
        <v>96</v>
      </c>
      <c r="B20" s="2" t="n">
        <v>7</v>
      </c>
      <c r="C20" s="2" t="n">
        <v>3452120</v>
      </c>
    </row>
    <row r="21" customFormat="false" ht="12.8" hidden="false" customHeight="false" outlineLevel="0" collapsed="false">
      <c r="A21" s="2" t="s">
        <v>103</v>
      </c>
      <c r="B21" s="2" t="n">
        <v>8</v>
      </c>
      <c r="C21" s="2" t="n">
        <v>2472934</v>
      </c>
    </row>
    <row r="29" customFormat="false" ht="12.8" hidden="false" customHeight="false" outlineLevel="0" collapsed="false">
      <c r="A29" s="2" t="s">
        <v>0</v>
      </c>
      <c r="B29" s="2" t="s">
        <v>7</v>
      </c>
      <c r="C29" s="2" t="s">
        <v>8</v>
      </c>
    </row>
    <row r="30" customFormat="false" ht="12.8" hidden="false" customHeight="false" outlineLevel="0" collapsed="false">
      <c r="A30" s="2" t="s">
        <v>20</v>
      </c>
      <c r="B30" s="2" t="n">
        <v>1</v>
      </c>
      <c r="C30" s="3" t="n">
        <v>67822946</v>
      </c>
    </row>
    <row r="31" customFormat="false" ht="12.8" hidden="false" customHeight="false" outlineLevel="0" collapsed="false">
      <c r="A31" s="2" t="s">
        <v>30</v>
      </c>
      <c r="B31" s="2" t="n">
        <v>1</v>
      </c>
      <c r="C31" s="5" t="n">
        <v>75668861</v>
      </c>
    </row>
    <row r="32" customFormat="false" ht="12.8" hidden="false" customHeight="false" outlineLevel="0" collapsed="false">
      <c r="A32" s="2" t="s">
        <v>36</v>
      </c>
      <c r="B32" s="2" t="n">
        <v>1</v>
      </c>
      <c r="C32" s="3" t="n">
        <v>78044268</v>
      </c>
    </row>
    <row r="33" customFormat="false" ht="12.8" hidden="false" customHeight="false" outlineLevel="0" collapsed="false">
      <c r="A33" s="2" t="s">
        <v>40</v>
      </c>
      <c r="B33" s="2" t="n">
        <v>1</v>
      </c>
      <c r="C33" s="3" t="n">
        <v>78177940</v>
      </c>
    </row>
    <row r="34" customFormat="false" ht="12.8" hidden="false" customHeight="false" outlineLevel="0" collapsed="false">
      <c r="A34" s="2" t="s">
        <v>46</v>
      </c>
      <c r="B34" s="7" t="n">
        <v>2</v>
      </c>
      <c r="C34" s="3" t="n">
        <v>24792151</v>
      </c>
    </row>
    <row r="35" customFormat="false" ht="12.8" hidden="false" customHeight="false" outlineLevel="0" collapsed="false">
      <c r="A35" s="2"/>
      <c r="B35" s="7" t="n">
        <v>2</v>
      </c>
      <c r="C35" s="3" t="n">
        <v>24792151</v>
      </c>
    </row>
    <row r="36" customFormat="false" ht="12.8" hidden="false" customHeight="false" outlineLevel="0" collapsed="false">
      <c r="A36" s="2" t="s">
        <v>57</v>
      </c>
      <c r="B36" s="7" t="n">
        <v>2</v>
      </c>
      <c r="C36" s="3" t="n">
        <v>34015955</v>
      </c>
    </row>
    <row r="37" customFormat="false" ht="12.8" hidden="false" customHeight="false" outlineLevel="0" collapsed="false">
      <c r="A37" s="2" t="s">
        <v>64</v>
      </c>
      <c r="B37" s="7" t="n">
        <v>2</v>
      </c>
      <c r="C37" s="3" t="n">
        <v>37793674</v>
      </c>
    </row>
    <row r="38" customFormat="false" ht="12.8" hidden="false" customHeight="false" outlineLevel="0" collapsed="false">
      <c r="A38" s="2" t="s">
        <v>68</v>
      </c>
      <c r="B38" s="7" t="n">
        <v>2</v>
      </c>
      <c r="C38" s="5" t="n">
        <v>38139240</v>
      </c>
    </row>
    <row r="39" customFormat="false" ht="12.8" hidden="false" customHeight="false" outlineLevel="0" collapsed="false">
      <c r="A39" s="2" t="s">
        <v>73</v>
      </c>
      <c r="B39" s="7" t="n">
        <v>2</v>
      </c>
      <c r="C39" s="3" t="n">
        <v>45124985</v>
      </c>
    </row>
    <row r="40" customFormat="false" ht="12.8" hidden="false" customHeight="false" outlineLevel="0" collapsed="false">
      <c r="A40" s="2" t="s">
        <v>82</v>
      </c>
      <c r="B40" s="2" t="n">
        <v>3</v>
      </c>
      <c r="C40" s="3" t="n">
        <v>55211205</v>
      </c>
    </row>
    <row r="41" customFormat="false" ht="12.8" hidden="false" customHeight="false" outlineLevel="0" collapsed="false">
      <c r="A41" s="2"/>
      <c r="B41" s="2" t="n">
        <v>3</v>
      </c>
      <c r="C41" s="3" t="n">
        <v>55211205</v>
      </c>
    </row>
    <row r="42" customFormat="false" ht="12.8" hidden="false" customHeight="false" outlineLevel="0" collapsed="false">
      <c r="A42" s="2" t="s">
        <v>86</v>
      </c>
      <c r="B42" s="2" t="n">
        <v>4</v>
      </c>
      <c r="C42" s="3" t="n">
        <v>5765944</v>
      </c>
    </row>
    <row r="43" customFormat="false" ht="12.8" hidden="false" customHeight="false" outlineLevel="0" collapsed="false">
      <c r="A43" s="2"/>
      <c r="B43" s="2" t="n">
        <v>4</v>
      </c>
      <c r="C43" s="3" t="n">
        <v>5765944</v>
      </c>
    </row>
  </sheetData>
  <mergeCells count="1">
    <mergeCell ref="H1:M1"/>
  </mergeCells>
  <hyperlinks>
    <hyperlink ref="M3" r:id="rId1" display="Causal at R locus, red/purple anthocyanin PMC"/>
    <hyperlink ref="M5" r:id="rId2" display="Early flavonoid pathway PMC"/>
    <hyperlink ref="M6" r:id="rId3" display="— PMC"/>
    <hyperlink ref="M7" r:id="rId4" display="Early flavonoid pathway PMC"/>
    <hyperlink ref="M8" r:id="rId5" display="— PMC"/>
    <hyperlink ref="M9" r:id="rId6" display="Early anthocyanin pathway PMC"/>
    <hyperlink ref="M10" r:id="rId7" display="Late anthocyanin enzyme PMC"/>
    <hyperlink ref="M11" r:id="rId8" display="Color modification PMC"/>
    <hyperlink ref="M12" r:id="rId9" display="Anthocyanin decoration PMC"/>
    <hyperlink ref="M13" r:id="rId10" display="— PMC"/>
    <hyperlink ref="M14" r:id="rId11" display="— PMC"/>
    <hyperlink ref="M15" r:id="rId12" display="Transport to vacuole PMC"/>
    <hyperlink ref="M16" r:id="rId13" display="Vacuolar anthocyanin transport PMC"/>
    <hyperlink ref="M17" r:id="rId14" display="Anthocyanin QTL region PMC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14427</TotalTime>
  <Application>LibreOffice/24.8.2.1$Linux_X86_64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2025-08-19T11:52:44Z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